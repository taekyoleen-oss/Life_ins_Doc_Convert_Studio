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0d261d9200e04c/Documents/00 App Project/Life_ins_Doc_Convert_Studio/samples/"/>
    </mc:Choice>
  </mc:AlternateContent>
  <xr:revisionPtr revIDLastSave="0" documentId="11_F8D2E78A50C9753C74A31BAF28421AD89109F2A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주계약" sheetId="1" r:id="rId1"/>
  </sheets>
  <definedNames>
    <definedName name="alphaS" localSheetId="0">주계약!$B$9</definedName>
    <definedName name="betaG" localSheetId="0">주계약!$B$11</definedName>
    <definedName name="betaPrime" localSheetId="0">주계약!$B$12</definedName>
    <definedName name="betaS" localSheetId="0">주계약!$B$10</definedName>
    <definedName name="gamma" localSheetId="0">주계약!$B$13</definedName>
    <definedName name="i_rate" localSheetId="0">주계약!$B$6</definedName>
    <definedName name="i_std" localSheetId="0">주계약!$B$8</definedName>
    <definedName name="k_freq" localSheetId="0">주계약!$B$5</definedName>
    <definedName name="per100k_0">주계약!$BD$16</definedName>
    <definedName name="prem_0">주계약!$BD$17</definedName>
    <definedName name="rho" localSheetId="0">주계약!$B$14</definedName>
    <definedName name="sum_assured" localSheetId="0">주계약!$B$4</definedName>
    <definedName name="v_disc" localSheetId="0">주계약!$B$7</definedName>
    <definedName name="x_age" localSheetId="0">주계약!$B$2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4" i="1" l="1"/>
  <c r="U74" i="1"/>
  <c r="M74" i="1"/>
  <c r="N74" i="1" s="1"/>
  <c r="K74" i="1"/>
  <c r="E74" i="1"/>
  <c r="U73" i="1"/>
  <c r="M73" i="1"/>
  <c r="N73" i="1" s="1"/>
  <c r="K73" i="1"/>
  <c r="E73" i="1"/>
  <c r="U72" i="1"/>
  <c r="M72" i="1"/>
  <c r="N72" i="1" s="1"/>
  <c r="K72" i="1"/>
  <c r="E72" i="1"/>
  <c r="U71" i="1"/>
  <c r="M71" i="1"/>
  <c r="N71" i="1" s="1"/>
  <c r="K71" i="1"/>
  <c r="E71" i="1"/>
  <c r="U70" i="1"/>
  <c r="M70" i="1"/>
  <c r="N70" i="1" s="1"/>
  <c r="K70" i="1"/>
  <c r="E70" i="1"/>
  <c r="U69" i="1"/>
  <c r="M69" i="1"/>
  <c r="N69" i="1" s="1"/>
  <c r="K69" i="1"/>
  <c r="E69" i="1"/>
  <c r="U68" i="1"/>
  <c r="M68" i="1"/>
  <c r="N68" i="1" s="1"/>
  <c r="K68" i="1"/>
  <c r="E68" i="1"/>
  <c r="U67" i="1"/>
  <c r="M67" i="1"/>
  <c r="N67" i="1" s="1"/>
  <c r="K67" i="1"/>
  <c r="E67" i="1"/>
  <c r="U66" i="1"/>
  <c r="M66" i="1"/>
  <c r="N66" i="1" s="1"/>
  <c r="K66" i="1"/>
  <c r="E66" i="1"/>
  <c r="U65" i="1"/>
  <c r="M65" i="1"/>
  <c r="N65" i="1" s="1"/>
  <c r="K65" i="1"/>
  <c r="E65" i="1"/>
  <c r="U64" i="1"/>
  <c r="M64" i="1"/>
  <c r="N64" i="1" s="1"/>
  <c r="K64" i="1"/>
  <c r="E64" i="1"/>
  <c r="AR63" i="1"/>
  <c r="AP63" i="1"/>
  <c r="AH63" i="1"/>
  <c r="AI63" i="1" s="1"/>
  <c r="AF63" i="1"/>
  <c r="U63" i="1"/>
  <c r="M63" i="1"/>
  <c r="N63" i="1" s="1"/>
  <c r="K63" i="1"/>
  <c r="J63" i="1"/>
  <c r="I63" i="1"/>
  <c r="E63" i="1"/>
  <c r="AP62" i="1"/>
  <c r="AH62" i="1"/>
  <c r="AI62" i="1" s="1"/>
  <c r="AF62" i="1"/>
  <c r="U62" i="1"/>
  <c r="M62" i="1"/>
  <c r="N62" i="1" s="1"/>
  <c r="K62" i="1"/>
  <c r="J62" i="1"/>
  <c r="I62" i="1"/>
  <c r="E62" i="1"/>
  <c r="AP61" i="1"/>
  <c r="AH61" i="1"/>
  <c r="AI61" i="1" s="1"/>
  <c r="AF61" i="1"/>
  <c r="U61" i="1"/>
  <c r="M61" i="1"/>
  <c r="N61" i="1" s="1"/>
  <c r="K61" i="1"/>
  <c r="E61" i="1"/>
  <c r="AP60" i="1"/>
  <c r="AH60" i="1"/>
  <c r="AI60" i="1" s="1"/>
  <c r="AF60" i="1"/>
  <c r="U60" i="1"/>
  <c r="M60" i="1"/>
  <c r="N60" i="1" s="1"/>
  <c r="K60" i="1"/>
  <c r="E60" i="1"/>
  <c r="AP59" i="1"/>
  <c r="AH59" i="1"/>
  <c r="AI59" i="1" s="1"/>
  <c r="AF59" i="1"/>
  <c r="U59" i="1"/>
  <c r="M59" i="1"/>
  <c r="N59" i="1" s="1"/>
  <c r="K59" i="1"/>
  <c r="E59" i="1"/>
  <c r="AP58" i="1"/>
  <c r="AH58" i="1"/>
  <c r="AI58" i="1" s="1"/>
  <c r="AF58" i="1"/>
  <c r="U58" i="1"/>
  <c r="M58" i="1"/>
  <c r="N58" i="1" s="1"/>
  <c r="K58" i="1"/>
  <c r="E58" i="1"/>
  <c r="AP57" i="1"/>
  <c r="AH57" i="1"/>
  <c r="AI57" i="1" s="1"/>
  <c r="AF57" i="1"/>
  <c r="U57" i="1"/>
  <c r="M57" i="1"/>
  <c r="N57" i="1" s="1"/>
  <c r="K57" i="1"/>
  <c r="E57" i="1"/>
  <c r="AP56" i="1"/>
  <c r="AH56" i="1"/>
  <c r="AI56" i="1" s="1"/>
  <c r="AF56" i="1"/>
  <c r="U56" i="1"/>
  <c r="M56" i="1"/>
  <c r="N56" i="1" s="1"/>
  <c r="K56" i="1"/>
  <c r="E56" i="1"/>
  <c r="AP55" i="1"/>
  <c r="AH55" i="1"/>
  <c r="AI55" i="1" s="1"/>
  <c r="AF55" i="1"/>
  <c r="U55" i="1"/>
  <c r="M55" i="1"/>
  <c r="N55" i="1" s="1"/>
  <c r="K55" i="1"/>
  <c r="E55" i="1"/>
  <c r="AP54" i="1"/>
  <c r="AH54" i="1"/>
  <c r="AI54" i="1" s="1"/>
  <c r="AF54" i="1"/>
  <c r="U54" i="1"/>
  <c r="M54" i="1"/>
  <c r="N54" i="1" s="1"/>
  <c r="K54" i="1"/>
  <c r="E54" i="1"/>
  <c r="AP53" i="1"/>
  <c r="AH53" i="1"/>
  <c r="AI53" i="1" s="1"/>
  <c r="AF53" i="1"/>
  <c r="U53" i="1"/>
  <c r="M53" i="1"/>
  <c r="N53" i="1" s="1"/>
  <c r="K53" i="1"/>
  <c r="E53" i="1"/>
  <c r="AP52" i="1"/>
  <c r="AH52" i="1"/>
  <c r="AI52" i="1" s="1"/>
  <c r="AF52" i="1"/>
  <c r="U52" i="1"/>
  <c r="M52" i="1"/>
  <c r="N52" i="1" s="1"/>
  <c r="K52" i="1"/>
  <c r="E52" i="1"/>
  <c r="AP51" i="1"/>
  <c r="AH51" i="1"/>
  <c r="AI51" i="1" s="1"/>
  <c r="AF51" i="1"/>
  <c r="U51" i="1"/>
  <c r="M51" i="1"/>
  <c r="N51" i="1" s="1"/>
  <c r="K51" i="1"/>
  <c r="E51" i="1"/>
  <c r="AP50" i="1"/>
  <c r="AH50" i="1"/>
  <c r="AI50" i="1" s="1"/>
  <c r="AF50" i="1"/>
  <c r="U50" i="1"/>
  <c r="M50" i="1"/>
  <c r="N50" i="1" s="1"/>
  <c r="K50" i="1"/>
  <c r="E50" i="1"/>
  <c r="AP49" i="1"/>
  <c r="AH49" i="1"/>
  <c r="AI49" i="1" s="1"/>
  <c r="AF49" i="1"/>
  <c r="U49" i="1"/>
  <c r="M49" i="1"/>
  <c r="N49" i="1" s="1"/>
  <c r="K49" i="1"/>
  <c r="E49" i="1"/>
  <c r="AP48" i="1"/>
  <c r="AH48" i="1"/>
  <c r="AI48" i="1" s="1"/>
  <c r="AF48" i="1"/>
  <c r="U48" i="1"/>
  <c r="M48" i="1"/>
  <c r="N48" i="1" s="1"/>
  <c r="K48" i="1"/>
  <c r="E48" i="1"/>
  <c r="AP47" i="1"/>
  <c r="AH47" i="1"/>
  <c r="AI47" i="1" s="1"/>
  <c r="AF47" i="1"/>
  <c r="U47" i="1"/>
  <c r="M47" i="1"/>
  <c r="N47" i="1" s="1"/>
  <c r="K47" i="1"/>
  <c r="E47" i="1"/>
  <c r="AP46" i="1"/>
  <c r="AH46" i="1"/>
  <c r="AI46" i="1" s="1"/>
  <c r="AF46" i="1"/>
  <c r="U46" i="1"/>
  <c r="M46" i="1"/>
  <c r="N46" i="1" s="1"/>
  <c r="K46" i="1"/>
  <c r="E46" i="1"/>
  <c r="AP45" i="1"/>
  <c r="AH45" i="1"/>
  <c r="AI45" i="1" s="1"/>
  <c r="AF45" i="1"/>
  <c r="U45" i="1"/>
  <c r="M45" i="1"/>
  <c r="N45" i="1" s="1"/>
  <c r="K45" i="1"/>
  <c r="E45" i="1"/>
  <c r="AP44" i="1"/>
  <c r="AH44" i="1"/>
  <c r="AI44" i="1" s="1"/>
  <c r="AF44" i="1"/>
  <c r="U44" i="1"/>
  <c r="M44" i="1"/>
  <c r="N44" i="1" s="1"/>
  <c r="K44" i="1"/>
  <c r="E44" i="1"/>
  <c r="AP43" i="1"/>
  <c r="AH43" i="1"/>
  <c r="AI43" i="1" s="1"/>
  <c r="AF43" i="1"/>
  <c r="U43" i="1"/>
  <c r="M43" i="1"/>
  <c r="N43" i="1" s="1"/>
  <c r="K43" i="1"/>
  <c r="E43" i="1"/>
  <c r="AP42" i="1"/>
  <c r="AH42" i="1"/>
  <c r="AI42" i="1" s="1"/>
  <c r="AF42" i="1"/>
  <c r="U42" i="1"/>
  <c r="M42" i="1"/>
  <c r="N42" i="1" s="1"/>
  <c r="K42" i="1"/>
  <c r="E42" i="1"/>
  <c r="AP41" i="1"/>
  <c r="AH41" i="1"/>
  <c r="AI41" i="1" s="1"/>
  <c r="AF41" i="1"/>
  <c r="U41" i="1"/>
  <c r="M41" i="1"/>
  <c r="N41" i="1" s="1"/>
  <c r="K41" i="1"/>
  <c r="E41" i="1"/>
  <c r="AP40" i="1"/>
  <c r="AH40" i="1"/>
  <c r="AI40" i="1" s="1"/>
  <c r="AF40" i="1"/>
  <c r="U40" i="1"/>
  <c r="M40" i="1"/>
  <c r="N40" i="1" s="1"/>
  <c r="K40" i="1"/>
  <c r="E40" i="1"/>
  <c r="AP39" i="1"/>
  <c r="AH39" i="1"/>
  <c r="AI39" i="1" s="1"/>
  <c r="AF39" i="1"/>
  <c r="U39" i="1"/>
  <c r="M39" i="1"/>
  <c r="N39" i="1" s="1"/>
  <c r="K39" i="1"/>
  <c r="E39" i="1"/>
  <c r="AP38" i="1"/>
  <c r="AH38" i="1"/>
  <c r="AI38" i="1" s="1"/>
  <c r="AF38" i="1"/>
  <c r="U38" i="1"/>
  <c r="M38" i="1"/>
  <c r="N38" i="1" s="1"/>
  <c r="K38" i="1"/>
  <c r="E38" i="1"/>
  <c r="AP37" i="1"/>
  <c r="AH37" i="1"/>
  <c r="AI37" i="1" s="1"/>
  <c r="AF37" i="1"/>
  <c r="U37" i="1"/>
  <c r="M37" i="1"/>
  <c r="N37" i="1" s="1"/>
  <c r="K37" i="1"/>
  <c r="J37" i="1"/>
  <c r="I37" i="1"/>
  <c r="E37" i="1"/>
  <c r="AP36" i="1"/>
  <c r="AH36" i="1"/>
  <c r="AI36" i="1" s="1"/>
  <c r="AF36" i="1"/>
  <c r="U36" i="1"/>
  <c r="M36" i="1"/>
  <c r="N36" i="1" s="1"/>
  <c r="K36" i="1"/>
  <c r="E36" i="1"/>
  <c r="AP35" i="1"/>
  <c r="AH35" i="1"/>
  <c r="AI35" i="1" s="1"/>
  <c r="AF35" i="1"/>
  <c r="U35" i="1"/>
  <c r="M35" i="1"/>
  <c r="N35" i="1" s="1"/>
  <c r="K35" i="1"/>
  <c r="E35" i="1"/>
  <c r="AP34" i="1"/>
  <c r="AH34" i="1"/>
  <c r="AI34" i="1" s="1"/>
  <c r="AF34" i="1"/>
  <c r="U34" i="1"/>
  <c r="M34" i="1"/>
  <c r="N34" i="1" s="1"/>
  <c r="K34" i="1"/>
  <c r="E34" i="1"/>
  <c r="AP33" i="1"/>
  <c r="AH33" i="1"/>
  <c r="AI33" i="1" s="1"/>
  <c r="AF33" i="1"/>
  <c r="U33" i="1"/>
  <c r="M33" i="1"/>
  <c r="N33" i="1" s="1"/>
  <c r="K33" i="1"/>
  <c r="E33" i="1"/>
  <c r="AP32" i="1"/>
  <c r="AH32" i="1"/>
  <c r="AI32" i="1" s="1"/>
  <c r="AF32" i="1"/>
  <c r="U32" i="1"/>
  <c r="M32" i="1"/>
  <c r="N32" i="1" s="1"/>
  <c r="K32" i="1"/>
  <c r="E32" i="1"/>
  <c r="AP31" i="1"/>
  <c r="AH31" i="1"/>
  <c r="AI31" i="1" s="1"/>
  <c r="AF31" i="1"/>
  <c r="U31" i="1"/>
  <c r="M31" i="1"/>
  <c r="N31" i="1" s="1"/>
  <c r="K31" i="1"/>
  <c r="E31" i="1"/>
  <c r="AP30" i="1"/>
  <c r="AH30" i="1"/>
  <c r="AI30" i="1" s="1"/>
  <c r="AF30" i="1"/>
  <c r="U30" i="1"/>
  <c r="M30" i="1"/>
  <c r="N30" i="1" s="1"/>
  <c r="K30" i="1"/>
  <c r="E30" i="1"/>
  <c r="AP29" i="1"/>
  <c r="AH29" i="1"/>
  <c r="AI29" i="1" s="1"/>
  <c r="AF29" i="1"/>
  <c r="U29" i="1"/>
  <c r="M29" i="1"/>
  <c r="N29" i="1" s="1"/>
  <c r="K29" i="1"/>
  <c r="E29" i="1"/>
  <c r="AP28" i="1"/>
  <c r="AH28" i="1"/>
  <c r="AI28" i="1" s="1"/>
  <c r="AF28" i="1"/>
  <c r="U28" i="1"/>
  <c r="M28" i="1"/>
  <c r="N28" i="1" s="1"/>
  <c r="K28" i="1"/>
  <c r="E28" i="1"/>
  <c r="AP27" i="1"/>
  <c r="AH27" i="1"/>
  <c r="AI27" i="1" s="1"/>
  <c r="AF27" i="1"/>
  <c r="U27" i="1"/>
  <c r="M27" i="1"/>
  <c r="N27" i="1" s="1"/>
  <c r="K27" i="1"/>
  <c r="E27" i="1"/>
  <c r="AP26" i="1"/>
  <c r="AH26" i="1"/>
  <c r="AI26" i="1" s="1"/>
  <c r="AF26" i="1"/>
  <c r="U26" i="1"/>
  <c r="M26" i="1"/>
  <c r="N26" i="1" s="1"/>
  <c r="K26" i="1"/>
  <c r="E26" i="1"/>
  <c r="AP25" i="1"/>
  <c r="AH25" i="1"/>
  <c r="AI25" i="1" s="1"/>
  <c r="AF25" i="1"/>
  <c r="U25" i="1"/>
  <c r="M25" i="1"/>
  <c r="N25" i="1" s="1"/>
  <c r="K25" i="1"/>
  <c r="E25" i="1"/>
  <c r="AP24" i="1"/>
  <c r="AH24" i="1"/>
  <c r="AI24" i="1" s="1"/>
  <c r="AF24" i="1"/>
  <c r="U24" i="1"/>
  <c r="M24" i="1"/>
  <c r="N24" i="1" s="1"/>
  <c r="K24" i="1"/>
  <c r="E24" i="1"/>
  <c r="AP23" i="1"/>
  <c r="AH23" i="1"/>
  <c r="AI23" i="1" s="1"/>
  <c r="AF23" i="1"/>
  <c r="U23" i="1"/>
  <c r="M23" i="1"/>
  <c r="N23" i="1" s="1"/>
  <c r="K23" i="1"/>
  <c r="E23" i="1"/>
  <c r="AP22" i="1"/>
  <c r="AH22" i="1"/>
  <c r="AI22" i="1" s="1"/>
  <c r="AF22" i="1"/>
  <c r="U22" i="1"/>
  <c r="M22" i="1"/>
  <c r="N22" i="1" s="1"/>
  <c r="K22" i="1"/>
  <c r="E22" i="1"/>
  <c r="AP21" i="1"/>
  <c r="AH21" i="1"/>
  <c r="AI21" i="1" s="1"/>
  <c r="AF21" i="1"/>
  <c r="U21" i="1"/>
  <c r="M21" i="1"/>
  <c r="N21" i="1" s="1"/>
  <c r="K21" i="1"/>
  <c r="J21" i="1"/>
  <c r="I21" i="1"/>
  <c r="E21" i="1"/>
  <c r="AP20" i="1"/>
  <c r="AH20" i="1"/>
  <c r="AI20" i="1" s="1"/>
  <c r="AF20" i="1"/>
  <c r="U20" i="1"/>
  <c r="M20" i="1"/>
  <c r="N20" i="1" s="1"/>
  <c r="K20" i="1"/>
  <c r="J20" i="1"/>
  <c r="I20" i="1"/>
  <c r="E20" i="1"/>
  <c r="AP19" i="1"/>
  <c r="AH19" i="1"/>
  <c r="AI19" i="1" s="1"/>
  <c r="AF19" i="1"/>
  <c r="U19" i="1"/>
  <c r="M19" i="1"/>
  <c r="N19" i="1" s="1"/>
  <c r="K19" i="1"/>
  <c r="E19" i="1"/>
  <c r="AP18" i="1"/>
  <c r="AH18" i="1"/>
  <c r="AI18" i="1" s="1"/>
  <c r="AF18" i="1"/>
  <c r="U18" i="1"/>
  <c r="M18" i="1"/>
  <c r="N18" i="1" s="1"/>
  <c r="K18" i="1"/>
  <c r="E18" i="1"/>
  <c r="AP17" i="1"/>
  <c r="AH17" i="1"/>
  <c r="AI17" i="1" s="1"/>
  <c r="AF17" i="1"/>
  <c r="U17" i="1"/>
  <c r="M17" i="1"/>
  <c r="N17" i="1" s="1"/>
  <c r="K17" i="1"/>
  <c r="E17" i="1"/>
  <c r="AP16" i="1"/>
  <c r="AH16" i="1"/>
  <c r="AI16" i="1" s="1"/>
  <c r="AF16" i="1"/>
  <c r="U16" i="1"/>
  <c r="M16" i="1"/>
  <c r="N16" i="1" s="1"/>
  <c r="K16" i="1"/>
  <c r="E16" i="1"/>
  <c r="AP15" i="1"/>
  <c r="AH15" i="1"/>
  <c r="AI15" i="1" s="1"/>
  <c r="AF15" i="1"/>
  <c r="U15" i="1"/>
  <c r="M15" i="1"/>
  <c r="N15" i="1" s="1"/>
  <c r="K15" i="1"/>
  <c r="E15" i="1"/>
  <c r="AP14" i="1"/>
  <c r="AH14" i="1"/>
  <c r="AI14" i="1" s="1"/>
  <c r="AF14" i="1"/>
  <c r="U14" i="1"/>
  <c r="M14" i="1"/>
  <c r="N14" i="1" s="1"/>
  <c r="K14" i="1"/>
  <c r="J14" i="1"/>
  <c r="I14" i="1"/>
  <c r="E14" i="1"/>
  <c r="AP13" i="1"/>
  <c r="AH13" i="1"/>
  <c r="AI13" i="1" s="1"/>
  <c r="AF13" i="1"/>
  <c r="U13" i="1"/>
  <c r="M13" i="1"/>
  <c r="N13" i="1" s="1"/>
  <c r="K13" i="1"/>
  <c r="J13" i="1"/>
  <c r="I13" i="1"/>
  <c r="E13" i="1"/>
  <c r="AP12" i="1"/>
  <c r="AH12" i="1"/>
  <c r="AI12" i="1" s="1"/>
  <c r="AF12" i="1"/>
  <c r="U12" i="1"/>
  <c r="M12" i="1"/>
  <c r="N12" i="1" s="1"/>
  <c r="K12" i="1"/>
  <c r="J12" i="1"/>
  <c r="I12" i="1"/>
  <c r="E12" i="1"/>
  <c r="AP11" i="1"/>
  <c r="AH11" i="1"/>
  <c r="AI11" i="1" s="1"/>
  <c r="AF11" i="1"/>
  <c r="U11" i="1"/>
  <c r="M11" i="1"/>
  <c r="N11" i="1" s="1"/>
  <c r="K11" i="1"/>
  <c r="E11" i="1"/>
  <c r="AP10" i="1"/>
  <c r="AH10" i="1"/>
  <c r="AI10" i="1" s="1"/>
  <c r="AF10" i="1"/>
  <c r="U10" i="1"/>
  <c r="M10" i="1"/>
  <c r="N10" i="1" s="1"/>
  <c r="K10" i="1"/>
  <c r="E10" i="1"/>
  <c r="AP9" i="1"/>
  <c r="AH9" i="1"/>
  <c r="AI9" i="1" s="1"/>
  <c r="AF9" i="1"/>
  <c r="U9" i="1"/>
  <c r="M9" i="1"/>
  <c r="N9" i="1" s="1"/>
  <c r="K9" i="1"/>
  <c r="E9" i="1"/>
  <c r="AP8" i="1"/>
  <c r="AH8" i="1"/>
  <c r="AI8" i="1" s="1"/>
  <c r="AF8" i="1"/>
  <c r="U8" i="1"/>
  <c r="M8" i="1"/>
  <c r="N8" i="1" s="1"/>
  <c r="K8" i="1"/>
  <c r="E8" i="1"/>
  <c r="AP7" i="1"/>
  <c r="AH7" i="1"/>
  <c r="AI7" i="1" s="1"/>
  <c r="AF7" i="1"/>
  <c r="U7" i="1"/>
  <c r="M7" i="1"/>
  <c r="N7" i="1" s="1"/>
  <c r="K7" i="1"/>
  <c r="E7" i="1"/>
  <c r="B7" i="1"/>
  <c r="BC6" i="1"/>
  <c r="BB6" i="1"/>
  <c r="AP6" i="1"/>
  <c r="AH6" i="1"/>
  <c r="AI6" i="1" s="1"/>
  <c r="AF6" i="1"/>
  <c r="U6" i="1"/>
  <c r="M6" i="1"/>
  <c r="N6" i="1" s="1"/>
  <c r="K6" i="1"/>
  <c r="J6" i="1"/>
  <c r="I6" i="1"/>
  <c r="E6" i="1"/>
  <c r="AP5" i="1"/>
  <c r="AH5" i="1"/>
  <c r="AI5" i="1" s="1"/>
  <c r="AF5" i="1"/>
  <c r="U5" i="1"/>
  <c r="M5" i="1"/>
  <c r="N5" i="1" s="1"/>
  <c r="K5" i="1"/>
  <c r="J5" i="1"/>
  <c r="I5" i="1"/>
  <c r="E5" i="1"/>
  <c r="AP4" i="1"/>
  <c r="AH4" i="1"/>
  <c r="AI4" i="1" s="1"/>
  <c r="AF4" i="1"/>
  <c r="U4" i="1"/>
  <c r="M4" i="1"/>
  <c r="N4" i="1" s="1"/>
  <c r="K4" i="1"/>
  <c r="J4" i="1"/>
  <c r="I4" i="1"/>
  <c r="E4" i="1"/>
  <c r="AP3" i="1"/>
  <c r="AK3" i="1"/>
  <c r="AH3" i="1"/>
  <c r="AI3" i="1" s="1"/>
  <c r="AJ4" i="1" s="1"/>
  <c r="AF3" i="1"/>
  <c r="AG4" i="1" s="1"/>
  <c r="U3" i="1"/>
  <c r="M3" i="1"/>
  <c r="N3" i="1" s="1"/>
  <c r="O4" i="1" s="1"/>
  <c r="K3" i="1"/>
  <c r="J3" i="1"/>
  <c r="AQ3" i="1" s="1"/>
  <c r="I3" i="1"/>
  <c r="E3" i="1"/>
  <c r="J54" i="1" l="1"/>
  <c r="I54" i="1"/>
  <c r="J53" i="1"/>
  <c r="J47" i="1"/>
  <c r="I47" i="1"/>
  <c r="J46" i="1"/>
  <c r="I46" i="1"/>
  <c r="J45" i="1"/>
  <c r="I45" i="1"/>
  <c r="J38" i="1"/>
  <c r="I38" i="1"/>
  <c r="I53" i="1"/>
  <c r="J52" i="1"/>
  <c r="I52" i="1"/>
  <c r="J51" i="1"/>
  <c r="I51" i="1"/>
  <c r="J50" i="1"/>
  <c r="I50" i="1"/>
  <c r="J49" i="1"/>
  <c r="I40" i="1"/>
  <c r="I41" i="1"/>
  <c r="J41" i="1"/>
  <c r="J39" i="1"/>
  <c r="I39" i="1"/>
  <c r="I42" i="1"/>
  <c r="J42" i="1"/>
  <c r="I43" i="1"/>
  <c r="J36" i="1"/>
  <c r="I36" i="1"/>
  <c r="I44" i="1"/>
  <c r="J44" i="1"/>
  <c r="J35" i="1"/>
  <c r="I35" i="1"/>
  <c r="J34" i="1"/>
  <c r="I34" i="1"/>
  <c r="J33" i="1"/>
  <c r="I33" i="1"/>
  <c r="I48" i="1"/>
  <c r="J40" i="1"/>
  <c r="J32" i="1"/>
  <c r="I32" i="1"/>
  <c r="J31" i="1"/>
  <c r="I31" i="1"/>
  <c r="J43" i="1"/>
  <c r="J30" i="1"/>
  <c r="I30" i="1"/>
  <c r="J29" i="1"/>
  <c r="I29" i="1"/>
  <c r="J28" i="1"/>
  <c r="I28" i="1"/>
  <c r="I23" i="1"/>
  <c r="J22" i="1"/>
  <c r="I22" i="1"/>
  <c r="J74" i="1"/>
  <c r="I74" i="1"/>
  <c r="J73" i="1"/>
  <c r="I73" i="1"/>
  <c r="J27" i="1"/>
  <c r="I27" i="1"/>
  <c r="J72" i="1"/>
  <c r="I72" i="1"/>
  <c r="J26" i="1"/>
  <c r="J71" i="1"/>
  <c r="I71" i="1"/>
  <c r="J70" i="1"/>
  <c r="J25" i="1"/>
  <c r="I25" i="1"/>
  <c r="I70" i="1"/>
  <c r="J69" i="1"/>
  <c r="J24" i="1"/>
  <c r="I24" i="1"/>
  <c r="I69" i="1"/>
  <c r="J23" i="1"/>
  <c r="J68" i="1"/>
  <c r="I68" i="1"/>
  <c r="J67" i="1"/>
  <c r="J48" i="1"/>
  <c r="I67" i="1"/>
  <c r="J66" i="1"/>
  <c r="J19" i="1"/>
  <c r="I19" i="1"/>
  <c r="I66" i="1"/>
  <c r="J65" i="1"/>
  <c r="J18" i="1"/>
  <c r="I18" i="1"/>
  <c r="I65" i="1"/>
  <c r="J64" i="1"/>
  <c r="J17" i="1"/>
  <c r="I17" i="1"/>
  <c r="J61" i="1"/>
  <c r="I61" i="1"/>
  <c r="J16" i="1"/>
  <c r="I16" i="1"/>
  <c r="I26" i="1"/>
  <c r="J60" i="1"/>
  <c r="J15" i="1"/>
  <c r="I15" i="1"/>
  <c r="I60" i="1"/>
  <c r="J59" i="1"/>
  <c r="I49" i="1"/>
  <c r="I59" i="1"/>
  <c r="J58" i="1"/>
  <c r="J11" i="1"/>
  <c r="I11" i="1"/>
  <c r="I58" i="1"/>
  <c r="J57" i="1"/>
  <c r="J10" i="1"/>
  <c r="I10" i="1"/>
  <c r="I57" i="1"/>
  <c r="J56" i="1"/>
  <c r="J9" i="1"/>
  <c r="I9" i="1"/>
  <c r="I56" i="1"/>
  <c r="J55" i="1"/>
  <c r="J8" i="1"/>
  <c r="I8" i="1"/>
  <c r="I55" i="1"/>
  <c r="I64" i="1"/>
  <c r="J7" i="1"/>
  <c r="I7" i="1"/>
  <c r="AM4" i="1"/>
  <c r="AJ5" i="1"/>
  <c r="AL4" i="1"/>
  <c r="AK4" i="1"/>
  <c r="AG5" i="1"/>
  <c r="AQ4" i="1"/>
  <c r="R4" i="1"/>
  <c r="O5" i="1"/>
  <c r="L4" i="1"/>
  <c r="P3" i="1"/>
  <c r="V3" i="1"/>
  <c r="AL3" i="1"/>
  <c r="Q3" i="1"/>
  <c r="R3" i="1"/>
  <c r="AM3" i="1"/>
  <c r="AM5" i="1" l="1"/>
  <c r="AJ6" i="1"/>
  <c r="AQ5" i="1"/>
  <c r="AL5" i="1"/>
  <c r="AK5" i="1"/>
  <c r="AG6" i="1"/>
  <c r="R5" i="1"/>
  <c r="O6" i="1"/>
  <c r="L5" i="1"/>
  <c r="P4" i="1"/>
  <c r="V4" i="1"/>
  <c r="Q4" i="1"/>
  <c r="AM6" i="1" l="1"/>
  <c r="AJ7" i="1"/>
  <c r="AK6" i="1"/>
  <c r="AL6" i="1"/>
  <c r="AQ6" i="1"/>
  <c r="AG7" i="1"/>
  <c r="R6" i="1"/>
  <c r="O7" i="1"/>
  <c r="V5" i="1"/>
  <c r="P5" i="1"/>
  <c r="Q5" i="1"/>
  <c r="L6" i="1"/>
  <c r="AM7" i="1" l="1"/>
  <c r="AJ8" i="1"/>
  <c r="AK7" i="1"/>
  <c r="AL7" i="1"/>
  <c r="AQ7" i="1"/>
  <c r="AG8" i="1"/>
  <c r="R7" i="1"/>
  <c r="O8" i="1"/>
  <c r="P6" i="1"/>
  <c r="Q6" i="1"/>
  <c r="V6" i="1"/>
  <c r="L7" i="1"/>
  <c r="AM8" i="1" l="1"/>
  <c r="AJ9" i="1"/>
  <c r="AK8" i="1"/>
  <c r="AL8" i="1"/>
  <c r="AQ8" i="1"/>
  <c r="AG9" i="1"/>
  <c r="R8" i="1"/>
  <c r="O9" i="1"/>
  <c r="P7" i="1"/>
  <c r="Q7" i="1"/>
  <c r="V7" i="1"/>
  <c r="L8" i="1"/>
  <c r="AM9" i="1" l="1"/>
  <c r="AJ10" i="1"/>
  <c r="AK9" i="1"/>
  <c r="AL9" i="1"/>
  <c r="AQ9" i="1"/>
  <c r="AG10" i="1"/>
  <c r="R9" i="1"/>
  <c r="O10" i="1"/>
  <c r="P8" i="1"/>
  <c r="Q8" i="1"/>
  <c r="V8" i="1"/>
  <c r="L9" i="1"/>
  <c r="AM10" i="1" l="1"/>
  <c r="AJ11" i="1"/>
  <c r="AK10" i="1"/>
  <c r="AL10" i="1"/>
  <c r="AQ10" i="1"/>
  <c r="AG11" i="1"/>
  <c r="R10" i="1"/>
  <c r="O11" i="1"/>
  <c r="P9" i="1"/>
  <c r="Q9" i="1"/>
  <c r="V9" i="1"/>
  <c r="L10" i="1"/>
  <c r="AM11" i="1" l="1"/>
  <c r="AJ12" i="1"/>
  <c r="AQ11" i="1"/>
  <c r="AK11" i="1"/>
  <c r="AL11" i="1"/>
  <c r="AG12" i="1"/>
  <c r="R11" i="1"/>
  <c r="O12" i="1"/>
  <c r="P10" i="1"/>
  <c r="Q10" i="1"/>
  <c r="V10" i="1"/>
  <c r="L11" i="1"/>
  <c r="AM12" i="1" l="1"/>
  <c r="AJ13" i="1"/>
  <c r="AK12" i="1"/>
  <c r="AL12" i="1"/>
  <c r="AQ12" i="1"/>
  <c r="AG13" i="1"/>
  <c r="R12" i="1"/>
  <c r="O13" i="1"/>
  <c r="P11" i="1"/>
  <c r="Q11" i="1"/>
  <c r="V11" i="1"/>
  <c r="L12" i="1"/>
  <c r="AM13" i="1" l="1"/>
  <c r="AJ14" i="1"/>
  <c r="AK13" i="1"/>
  <c r="AL13" i="1"/>
  <c r="AQ13" i="1"/>
  <c r="AG14" i="1"/>
  <c r="R13" i="1"/>
  <c r="O14" i="1"/>
  <c r="P12" i="1"/>
  <c r="Q12" i="1"/>
  <c r="V12" i="1"/>
  <c r="L13" i="1"/>
  <c r="AM14" i="1" l="1"/>
  <c r="AJ15" i="1"/>
  <c r="AK14" i="1"/>
  <c r="AL14" i="1"/>
  <c r="AQ14" i="1"/>
  <c r="AG15" i="1"/>
  <c r="R14" i="1"/>
  <c r="O15" i="1"/>
  <c r="V13" i="1"/>
  <c r="L14" i="1"/>
  <c r="P13" i="1"/>
  <c r="Q13" i="1"/>
  <c r="AM15" i="1" l="1"/>
  <c r="AJ16" i="1"/>
  <c r="AK15" i="1"/>
  <c r="AL15" i="1"/>
  <c r="AQ15" i="1"/>
  <c r="AG16" i="1"/>
  <c r="R15" i="1"/>
  <c r="O16" i="1"/>
  <c r="P14" i="1"/>
  <c r="Q14" i="1"/>
  <c r="V14" i="1"/>
  <c r="L15" i="1"/>
  <c r="AM16" i="1" l="1"/>
  <c r="AJ17" i="1"/>
  <c r="AK16" i="1"/>
  <c r="AL16" i="1"/>
  <c r="AQ16" i="1"/>
  <c r="AG17" i="1"/>
  <c r="R16" i="1"/>
  <c r="O17" i="1"/>
  <c r="P15" i="1"/>
  <c r="Q15" i="1"/>
  <c r="V15" i="1"/>
  <c r="L16" i="1"/>
  <c r="AM17" i="1" l="1"/>
  <c r="AJ18" i="1"/>
  <c r="AK17" i="1"/>
  <c r="AL17" i="1"/>
  <c r="AQ17" i="1"/>
  <c r="AG18" i="1"/>
  <c r="R17" i="1"/>
  <c r="O18" i="1"/>
  <c r="P16" i="1"/>
  <c r="Q16" i="1"/>
  <c r="V16" i="1"/>
  <c r="L17" i="1"/>
  <c r="AM18" i="1" l="1"/>
  <c r="AJ19" i="1"/>
  <c r="AK18" i="1"/>
  <c r="AL18" i="1"/>
  <c r="AQ18" i="1"/>
  <c r="AG19" i="1"/>
  <c r="R18" i="1"/>
  <c r="O19" i="1"/>
  <c r="P17" i="1"/>
  <c r="Q17" i="1"/>
  <c r="V17" i="1"/>
  <c r="L18" i="1"/>
  <c r="AM19" i="1" l="1"/>
  <c r="AJ20" i="1"/>
  <c r="AQ19" i="1"/>
  <c r="AG20" i="1"/>
  <c r="AK19" i="1"/>
  <c r="AL19" i="1"/>
  <c r="R19" i="1"/>
  <c r="O20" i="1"/>
  <c r="P18" i="1"/>
  <c r="Q18" i="1"/>
  <c r="V18" i="1"/>
  <c r="L19" i="1"/>
  <c r="AM20" i="1" l="1"/>
  <c r="AJ21" i="1"/>
  <c r="AK20" i="1"/>
  <c r="AL20" i="1"/>
  <c r="AQ20" i="1"/>
  <c r="AG21" i="1"/>
  <c r="R20" i="1"/>
  <c r="O21" i="1"/>
  <c r="P19" i="1"/>
  <c r="Q19" i="1"/>
  <c r="V19" i="1"/>
  <c r="L20" i="1"/>
  <c r="AM21" i="1" l="1"/>
  <c r="AJ22" i="1"/>
  <c r="AK21" i="1"/>
  <c r="AL21" i="1"/>
  <c r="AQ21" i="1"/>
  <c r="AG22" i="1"/>
  <c r="R21" i="1"/>
  <c r="O22" i="1"/>
  <c r="P20" i="1"/>
  <c r="Q20" i="1"/>
  <c r="V20" i="1"/>
  <c r="L21" i="1"/>
  <c r="AM22" i="1" l="1"/>
  <c r="AJ23" i="1"/>
  <c r="AL22" i="1"/>
  <c r="AK22" i="1"/>
  <c r="AQ22" i="1"/>
  <c r="AG23" i="1"/>
  <c r="R22" i="1"/>
  <c r="O23" i="1"/>
  <c r="V21" i="1"/>
  <c r="P21" i="1"/>
  <c r="Q21" i="1"/>
  <c r="L22" i="1"/>
  <c r="AM23" i="1" l="1"/>
  <c r="AJ24" i="1"/>
  <c r="AK23" i="1"/>
  <c r="AL23" i="1"/>
  <c r="AQ23" i="1"/>
  <c r="AG24" i="1"/>
  <c r="O24" i="1"/>
  <c r="R23" i="1"/>
  <c r="P22" i="1"/>
  <c r="Q22" i="1"/>
  <c r="V22" i="1"/>
  <c r="L23" i="1"/>
  <c r="AM24" i="1" l="1"/>
  <c r="AJ25" i="1"/>
  <c r="AK24" i="1"/>
  <c r="AL24" i="1"/>
  <c r="AQ24" i="1"/>
  <c r="AG25" i="1"/>
  <c r="R24" i="1"/>
  <c r="O25" i="1"/>
  <c r="P23" i="1"/>
  <c r="Q23" i="1"/>
  <c r="V23" i="1"/>
  <c r="L24" i="1"/>
  <c r="AM25" i="1" l="1"/>
  <c r="AJ26" i="1"/>
  <c r="AK25" i="1"/>
  <c r="AL25" i="1"/>
  <c r="AQ25" i="1"/>
  <c r="AG26" i="1"/>
  <c r="R25" i="1"/>
  <c r="O26" i="1"/>
  <c r="P24" i="1"/>
  <c r="Q24" i="1"/>
  <c r="V24" i="1"/>
  <c r="L25" i="1"/>
  <c r="AM26" i="1" l="1"/>
  <c r="AJ27" i="1"/>
  <c r="AK26" i="1"/>
  <c r="AL26" i="1"/>
  <c r="AQ26" i="1"/>
  <c r="AG27" i="1"/>
  <c r="R26" i="1"/>
  <c r="O27" i="1"/>
  <c r="P25" i="1"/>
  <c r="Q25" i="1"/>
  <c r="V25" i="1"/>
  <c r="L26" i="1"/>
  <c r="AM27" i="1" l="1"/>
  <c r="AJ28" i="1"/>
  <c r="AK27" i="1"/>
  <c r="AL27" i="1"/>
  <c r="AQ27" i="1"/>
  <c r="AG28" i="1"/>
  <c r="R27" i="1"/>
  <c r="O28" i="1"/>
  <c r="P26" i="1"/>
  <c r="Q26" i="1"/>
  <c r="V26" i="1"/>
  <c r="L27" i="1"/>
  <c r="AM28" i="1" l="1"/>
  <c r="AJ29" i="1"/>
  <c r="AK28" i="1"/>
  <c r="AL28" i="1"/>
  <c r="AQ28" i="1"/>
  <c r="AG29" i="1"/>
  <c r="R28" i="1"/>
  <c r="O29" i="1"/>
  <c r="P27" i="1"/>
  <c r="Q27" i="1"/>
  <c r="V27" i="1"/>
  <c r="L28" i="1"/>
  <c r="AM29" i="1" l="1"/>
  <c r="AJ30" i="1"/>
  <c r="AK29" i="1"/>
  <c r="AL29" i="1"/>
  <c r="AQ29" i="1"/>
  <c r="AG30" i="1"/>
  <c r="R29" i="1"/>
  <c r="O30" i="1"/>
  <c r="P28" i="1"/>
  <c r="Q28" i="1"/>
  <c r="V28" i="1"/>
  <c r="L29" i="1"/>
  <c r="AM30" i="1" l="1"/>
  <c r="AJ31" i="1"/>
  <c r="AK30" i="1"/>
  <c r="AL30" i="1"/>
  <c r="AQ30" i="1"/>
  <c r="AG31" i="1"/>
  <c r="R30" i="1"/>
  <c r="O31" i="1"/>
  <c r="P29" i="1"/>
  <c r="Q29" i="1"/>
  <c r="V29" i="1"/>
  <c r="L30" i="1"/>
  <c r="AM31" i="1" l="1"/>
  <c r="AJ32" i="1"/>
  <c r="AK31" i="1"/>
  <c r="AL31" i="1"/>
  <c r="AQ31" i="1"/>
  <c r="AG32" i="1"/>
  <c r="R31" i="1"/>
  <c r="O32" i="1"/>
  <c r="P30" i="1"/>
  <c r="Q30" i="1"/>
  <c r="V30" i="1"/>
  <c r="L31" i="1"/>
  <c r="AM32" i="1" l="1"/>
  <c r="AJ33" i="1"/>
  <c r="AK32" i="1"/>
  <c r="AL32" i="1"/>
  <c r="AQ32" i="1"/>
  <c r="AG33" i="1"/>
  <c r="R32" i="1"/>
  <c r="O33" i="1"/>
  <c r="P31" i="1"/>
  <c r="Q31" i="1"/>
  <c r="V31" i="1"/>
  <c r="L32" i="1"/>
  <c r="AM33" i="1" l="1"/>
  <c r="AJ34" i="1"/>
  <c r="AK33" i="1"/>
  <c r="AL33" i="1"/>
  <c r="AQ33" i="1"/>
  <c r="AG34" i="1"/>
  <c r="R33" i="1"/>
  <c r="O34" i="1"/>
  <c r="P32" i="1"/>
  <c r="Q32" i="1"/>
  <c r="V32" i="1"/>
  <c r="L33" i="1"/>
  <c r="AM34" i="1" l="1"/>
  <c r="AJ35" i="1"/>
  <c r="AK34" i="1"/>
  <c r="AL34" i="1"/>
  <c r="AQ34" i="1"/>
  <c r="AG35" i="1"/>
  <c r="R34" i="1"/>
  <c r="O35" i="1"/>
  <c r="P33" i="1"/>
  <c r="Q33" i="1"/>
  <c r="V33" i="1"/>
  <c r="L34" i="1"/>
  <c r="AM35" i="1" l="1"/>
  <c r="AJ36" i="1"/>
  <c r="AK35" i="1"/>
  <c r="AL35" i="1"/>
  <c r="AQ35" i="1"/>
  <c r="AG36" i="1"/>
  <c r="R35" i="1"/>
  <c r="O36" i="1"/>
  <c r="P34" i="1"/>
  <c r="Q34" i="1"/>
  <c r="V34" i="1"/>
  <c r="L35" i="1"/>
  <c r="AM36" i="1" l="1"/>
  <c r="AJ37" i="1"/>
  <c r="AK36" i="1"/>
  <c r="AL36" i="1"/>
  <c r="AQ36" i="1"/>
  <c r="AG37" i="1"/>
  <c r="R36" i="1"/>
  <c r="O37" i="1"/>
  <c r="P35" i="1"/>
  <c r="Q35" i="1"/>
  <c r="V35" i="1"/>
  <c r="L36" i="1"/>
  <c r="AJ38" i="1" l="1"/>
  <c r="AM37" i="1"/>
  <c r="AQ37" i="1"/>
  <c r="AG38" i="1"/>
  <c r="AK37" i="1"/>
  <c r="AL37" i="1"/>
  <c r="O38" i="1"/>
  <c r="R37" i="1"/>
  <c r="P36" i="1"/>
  <c r="L37" i="1"/>
  <c r="Q36" i="1"/>
  <c r="V36" i="1"/>
  <c r="AM38" i="1" l="1"/>
  <c r="AJ39" i="1"/>
  <c r="AK38" i="1"/>
  <c r="AL38" i="1"/>
  <c r="AQ38" i="1"/>
  <c r="AG39" i="1"/>
  <c r="R38" i="1"/>
  <c r="O39" i="1"/>
  <c r="P37" i="1"/>
  <c r="V37" i="1"/>
  <c r="L38" i="1"/>
  <c r="Q37" i="1"/>
  <c r="AM39" i="1" l="1"/>
  <c r="AJ40" i="1"/>
  <c r="AK39" i="1"/>
  <c r="AL39" i="1"/>
  <c r="AQ39" i="1"/>
  <c r="AG40" i="1"/>
  <c r="R39" i="1"/>
  <c r="O40" i="1"/>
  <c r="P38" i="1"/>
  <c r="V38" i="1"/>
  <c r="L39" i="1"/>
  <c r="Q38" i="1"/>
  <c r="AM40" i="1" l="1"/>
  <c r="AJ41" i="1"/>
  <c r="AK40" i="1"/>
  <c r="AL40" i="1"/>
  <c r="AQ40" i="1"/>
  <c r="AG41" i="1"/>
  <c r="R40" i="1"/>
  <c r="O41" i="1"/>
  <c r="P39" i="1"/>
  <c r="Q39" i="1"/>
  <c r="V39" i="1"/>
  <c r="L40" i="1"/>
  <c r="AM41" i="1" l="1"/>
  <c r="AJ42" i="1"/>
  <c r="AK41" i="1"/>
  <c r="AL41" i="1"/>
  <c r="AQ41" i="1"/>
  <c r="AG42" i="1"/>
  <c r="R41" i="1"/>
  <c r="O42" i="1"/>
  <c r="P40" i="1"/>
  <c r="Q40" i="1"/>
  <c r="V40" i="1"/>
  <c r="L41" i="1"/>
  <c r="AM42" i="1" l="1"/>
  <c r="AJ43" i="1"/>
  <c r="AK42" i="1"/>
  <c r="AL42" i="1"/>
  <c r="AQ42" i="1"/>
  <c r="AG43" i="1"/>
  <c r="R42" i="1"/>
  <c r="O43" i="1"/>
  <c r="P41" i="1"/>
  <c r="Q41" i="1"/>
  <c r="V41" i="1"/>
  <c r="L42" i="1"/>
  <c r="AM43" i="1" l="1"/>
  <c r="AJ44" i="1"/>
  <c r="AK43" i="1"/>
  <c r="AL43" i="1"/>
  <c r="AQ43" i="1"/>
  <c r="AG44" i="1"/>
  <c r="R43" i="1"/>
  <c r="O44" i="1"/>
  <c r="P42" i="1"/>
  <c r="Q42" i="1"/>
  <c r="V42" i="1"/>
  <c r="L43" i="1"/>
  <c r="AM44" i="1" l="1"/>
  <c r="AJ45" i="1"/>
  <c r="AG45" i="1"/>
  <c r="AK44" i="1"/>
  <c r="AL44" i="1"/>
  <c r="AQ44" i="1"/>
  <c r="R44" i="1"/>
  <c r="O45" i="1"/>
  <c r="P43" i="1"/>
  <c r="Q43" i="1"/>
  <c r="V43" i="1"/>
  <c r="L44" i="1"/>
  <c r="AM45" i="1" l="1"/>
  <c r="AJ46" i="1"/>
  <c r="AG46" i="1"/>
  <c r="AK45" i="1"/>
  <c r="AL45" i="1"/>
  <c r="AQ45" i="1"/>
  <c r="O46" i="1"/>
  <c r="R45" i="1"/>
  <c r="P44" i="1"/>
  <c r="Q44" i="1"/>
  <c r="V44" i="1"/>
  <c r="L45" i="1"/>
  <c r="AM46" i="1" l="1"/>
  <c r="AJ47" i="1"/>
  <c r="AL46" i="1"/>
  <c r="AG47" i="1"/>
  <c r="AK46" i="1"/>
  <c r="AQ46" i="1"/>
  <c r="R46" i="1"/>
  <c r="O47" i="1"/>
  <c r="P45" i="1"/>
  <c r="V45" i="1"/>
  <c r="L46" i="1"/>
  <c r="Q45" i="1"/>
  <c r="AM47" i="1" l="1"/>
  <c r="AJ48" i="1"/>
  <c r="AL47" i="1"/>
  <c r="AG48" i="1"/>
  <c r="AK47" i="1"/>
  <c r="AQ47" i="1"/>
  <c r="R47" i="1"/>
  <c r="O48" i="1"/>
  <c r="V46" i="1"/>
  <c r="L47" i="1"/>
  <c r="P46" i="1"/>
  <c r="Q46" i="1"/>
  <c r="AM48" i="1" l="1"/>
  <c r="AJ49" i="1"/>
  <c r="AK48" i="1"/>
  <c r="AL48" i="1"/>
  <c r="AQ48" i="1"/>
  <c r="AG49" i="1"/>
  <c r="R48" i="1"/>
  <c r="O49" i="1"/>
  <c r="L48" i="1"/>
  <c r="P47" i="1"/>
  <c r="Q47" i="1"/>
  <c r="V47" i="1"/>
  <c r="AM49" i="1" l="1"/>
  <c r="AJ50" i="1"/>
  <c r="AK49" i="1"/>
  <c r="AL49" i="1"/>
  <c r="AQ49" i="1"/>
  <c r="AG50" i="1"/>
  <c r="R49" i="1"/>
  <c r="O50" i="1"/>
  <c r="P48" i="1"/>
  <c r="Q48" i="1"/>
  <c r="V48" i="1"/>
  <c r="L49" i="1"/>
  <c r="AM50" i="1" l="1"/>
  <c r="AJ51" i="1"/>
  <c r="AK50" i="1"/>
  <c r="AL50" i="1"/>
  <c r="AQ50" i="1"/>
  <c r="AG51" i="1"/>
  <c r="R50" i="1"/>
  <c r="O51" i="1"/>
  <c r="P49" i="1"/>
  <c r="Q49" i="1"/>
  <c r="V49" i="1"/>
  <c r="L50" i="1"/>
  <c r="AM51" i="1" l="1"/>
  <c r="AJ52" i="1"/>
  <c r="AK51" i="1"/>
  <c r="AL51" i="1"/>
  <c r="AQ51" i="1"/>
  <c r="AG52" i="1"/>
  <c r="R51" i="1"/>
  <c r="O52" i="1"/>
  <c r="P50" i="1"/>
  <c r="Q50" i="1"/>
  <c r="V50" i="1"/>
  <c r="L51" i="1"/>
  <c r="AM52" i="1" l="1"/>
  <c r="AJ53" i="1"/>
  <c r="AK52" i="1"/>
  <c r="AL52" i="1"/>
  <c r="AQ52" i="1"/>
  <c r="AG53" i="1"/>
  <c r="R52" i="1"/>
  <c r="O53" i="1"/>
  <c r="P51" i="1"/>
  <c r="Q51" i="1"/>
  <c r="V51" i="1"/>
  <c r="L52" i="1"/>
  <c r="AM53" i="1" l="1"/>
  <c r="AJ54" i="1"/>
  <c r="AK53" i="1"/>
  <c r="AL53" i="1"/>
  <c r="AQ53" i="1"/>
  <c r="AG54" i="1"/>
  <c r="R53" i="1"/>
  <c r="O54" i="1"/>
  <c r="P52" i="1"/>
  <c r="Q52" i="1"/>
  <c r="V52" i="1"/>
  <c r="L53" i="1"/>
  <c r="AM54" i="1" l="1"/>
  <c r="AJ55" i="1"/>
  <c r="AK54" i="1"/>
  <c r="AL54" i="1"/>
  <c r="AQ54" i="1"/>
  <c r="AG55" i="1"/>
  <c r="R54" i="1"/>
  <c r="O55" i="1"/>
  <c r="P53" i="1"/>
  <c r="Q53" i="1"/>
  <c r="V53" i="1"/>
  <c r="L54" i="1"/>
  <c r="AM55" i="1" l="1"/>
  <c r="AJ56" i="1"/>
  <c r="AK55" i="1"/>
  <c r="AL55" i="1"/>
  <c r="AQ55" i="1"/>
  <c r="AG56" i="1"/>
  <c r="R55" i="1"/>
  <c r="O56" i="1"/>
  <c r="P54" i="1"/>
  <c r="Q54" i="1"/>
  <c r="V54" i="1"/>
  <c r="L55" i="1"/>
  <c r="AM56" i="1" l="1"/>
  <c r="AJ57" i="1"/>
  <c r="AK56" i="1"/>
  <c r="AL56" i="1"/>
  <c r="AQ56" i="1"/>
  <c r="AG57" i="1"/>
  <c r="R56" i="1"/>
  <c r="O57" i="1"/>
  <c r="P55" i="1"/>
  <c r="Q55" i="1"/>
  <c r="V55" i="1"/>
  <c r="L56" i="1"/>
  <c r="AM57" i="1" l="1"/>
  <c r="AJ58" i="1"/>
  <c r="AK57" i="1"/>
  <c r="AL57" i="1"/>
  <c r="AQ57" i="1"/>
  <c r="AG58" i="1"/>
  <c r="R57" i="1"/>
  <c r="O58" i="1"/>
  <c r="P56" i="1"/>
  <c r="Q56" i="1"/>
  <c r="V56" i="1"/>
  <c r="L57" i="1"/>
  <c r="AM58" i="1" l="1"/>
  <c r="AJ59" i="1"/>
  <c r="AK58" i="1"/>
  <c r="AL58" i="1"/>
  <c r="AQ58" i="1"/>
  <c r="AG59" i="1"/>
  <c r="R58" i="1"/>
  <c r="O59" i="1"/>
  <c r="P57" i="1"/>
  <c r="Q57" i="1"/>
  <c r="V57" i="1"/>
  <c r="L58" i="1"/>
  <c r="AM59" i="1" l="1"/>
  <c r="AJ60" i="1"/>
  <c r="AK59" i="1"/>
  <c r="AL59" i="1"/>
  <c r="AQ59" i="1"/>
  <c r="AG60" i="1"/>
  <c r="R59" i="1"/>
  <c r="O60" i="1"/>
  <c r="P58" i="1"/>
  <c r="Q58" i="1"/>
  <c r="V58" i="1"/>
  <c r="L59" i="1"/>
  <c r="AM60" i="1" l="1"/>
  <c r="AJ61" i="1"/>
  <c r="AK60" i="1"/>
  <c r="AL60" i="1"/>
  <c r="AQ60" i="1"/>
  <c r="AG61" i="1"/>
  <c r="R60" i="1"/>
  <c r="O61" i="1"/>
  <c r="P59" i="1"/>
  <c r="Q59" i="1"/>
  <c r="V59" i="1"/>
  <c r="L60" i="1"/>
  <c r="AJ62" i="1" l="1"/>
  <c r="AM61" i="1"/>
  <c r="AK61" i="1"/>
  <c r="AL61" i="1"/>
  <c r="AQ61" i="1"/>
  <c r="AG62" i="1"/>
  <c r="R61" i="1"/>
  <c r="O62" i="1"/>
  <c r="P60" i="1"/>
  <c r="Q60" i="1"/>
  <c r="V60" i="1"/>
  <c r="L61" i="1"/>
  <c r="AJ63" i="1" l="1"/>
  <c r="AM63" i="1" s="1"/>
  <c r="AM62" i="1"/>
  <c r="AO58" i="1"/>
  <c r="AO57" i="1"/>
  <c r="AO60" i="1"/>
  <c r="AO61" i="1"/>
  <c r="AL62" i="1"/>
  <c r="AG63" i="1"/>
  <c r="AK62" i="1"/>
  <c r="AQ62" i="1"/>
  <c r="AR33" i="1" s="1"/>
  <c r="R62" i="1"/>
  <c r="O63" i="1"/>
  <c r="P61" i="1"/>
  <c r="Q61" i="1"/>
  <c r="V61" i="1"/>
  <c r="L62" i="1"/>
  <c r="AR5" i="1"/>
  <c r="AR47" i="1"/>
  <c r="AR8" i="1"/>
  <c r="AR59" i="1"/>
  <c r="AR42" i="1"/>
  <c r="AR48" i="1"/>
  <c r="AR52" i="1"/>
  <c r="AR15" i="1"/>
  <c r="AR9" i="1"/>
  <c r="AR17" i="1"/>
  <c r="AR60" i="1"/>
  <c r="AR49" i="1"/>
  <c r="AR23" i="1"/>
  <c r="AR7" i="1"/>
  <c r="AR43" i="1"/>
  <c r="AR20" i="1"/>
  <c r="AR25" i="1"/>
  <c r="AR16" i="1"/>
  <c r="AR30" i="1"/>
  <c r="AR22" i="1"/>
  <c r="AR6" i="1"/>
  <c r="AR10" i="1"/>
  <c r="AR46" i="1"/>
  <c r="AR40" i="1"/>
  <c r="AR38" i="1"/>
  <c r="AR12" i="1"/>
  <c r="AR26" i="1"/>
  <c r="AR53" i="1"/>
  <c r="AR19" i="1"/>
  <c r="AR55" i="1"/>
  <c r="AR54" i="1"/>
  <c r="AR11" i="1"/>
  <c r="AR39" i="1"/>
  <c r="AO56" i="1" l="1"/>
  <c r="AO55" i="1"/>
  <c r="AO54" i="1"/>
  <c r="AO53" i="1"/>
  <c r="AO52" i="1"/>
  <c r="AO50" i="1"/>
  <c r="AO51" i="1"/>
  <c r="AO49" i="1"/>
  <c r="AO47" i="1"/>
  <c r="AO48" i="1"/>
  <c r="AO46" i="1"/>
  <c r="AO45" i="1"/>
  <c r="AO44" i="1"/>
  <c r="AO43" i="1"/>
  <c r="AO42" i="1"/>
  <c r="AO41" i="1"/>
  <c r="AO40" i="1"/>
  <c r="AO39" i="1"/>
  <c r="AO37" i="1"/>
  <c r="AO38" i="1"/>
  <c r="AO36" i="1"/>
  <c r="AO35" i="1"/>
  <c r="AO34" i="1"/>
  <c r="AO33" i="1"/>
  <c r="AO32" i="1"/>
  <c r="AO30" i="1"/>
  <c r="AO31" i="1"/>
  <c r="AO29" i="1"/>
  <c r="AO27" i="1"/>
  <c r="AO28" i="1"/>
  <c r="AO26" i="1"/>
  <c r="AO25" i="1"/>
  <c r="AO24" i="1"/>
  <c r="AO23" i="1"/>
  <c r="AO22" i="1"/>
  <c r="AO21" i="1"/>
  <c r="AO20" i="1"/>
  <c r="AO19" i="1"/>
  <c r="AO18" i="1"/>
  <c r="AO17" i="1"/>
  <c r="AO15" i="1"/>
  <c r="AO16" i="1"/>
  <c r="AO14" i="1"/>
  <c r="AO13" i="1"/>
  <c r="AO12" i="1"/>
  <c r="AO10" i="1"/>
  <c r="AO11" i="1"/>
  <c r="AO9" i="1"/>
  <c r="AO8" i="1"/>
  <c r="AO7" i="1"/>
  <c r="AO6" i="1"/>
  <c r="AO5" i="1"/>
  <c r="AO4" i="1"/>
  <c r="AO3" i="1"/>
  <c r="BC9" i="1" s="1"/>
  <c r="AO63" i="1"/>
  <c r="AO59" i="1"/>
  <c r="AO62" i="1"/>
  <c r="AK63" i="1"/>
  <c r="AL63" i="1"/>
  <c r="AN62" i="1" s="1"/>
  <c r="AQ63" i="1"/>
  <c r="R63" i="1"/>
  <c r="O64" i="1"/>
  <c r="P62" i="1"/>
  <c r="Q62" i="1"/>
  <c r="V62" i="1"/>
  <c r="L63" i="1"/>
  <c r="AN61" i="1"/>
  <c r="AN59" i="1"/>
  <c r="AR62" i="1"/>
  <c r="AR58" i="1"/>
  <c r="AR3" i="1"/>
  <c r="AR13" i="1"/>
  <c r="AR4" i="1"/>
  <c r="AR44" i="1"/>
  <c r="AR37" i="1"/>
  <c r="AR41" i="1"/>
  <c r="AR61" i="1"/>
  <c r="AR21" i="1"/>
  <c r="AR27" i="1"/>
  <c r="AR36" i="1"/>
  <c r="AR35" i="1"/>
  <c r="AR45" i="1"/>
  <c r="AR32" i="1"/>
  <c r="AR31" i="1"/>
  <c r="AR51" i="1"/>
  <c r="AR28" i="1"/>
  <c r="AR56" i="1"/>
  <c r="AR14" i="1"/>
  <c r="AR24" i="1"/>
  <c r="AR34" i="1"/>
  <c r="AR18" i="1"/>
  <c r="AR50" i="1"/>
  <c r="AR57" i="1"/>
  <c r="AR29" i="1"/>
  <c r="AN58" i="1" l="1"/>
  <c r="AN60" i="1"/>
  <c r="AN57" i="1"/>
  <c r="AN55" i="1"/>
  <c r="AN56" i="1"/>
  <c r="AN53" i="1"/>
  <c r="AN54" i="1"/>
  <c r="AN52" i="1"/>
  <c r="AN51" i="1"/>
  <c r="AN49" i="1"/>
  <c r="AN50" i="1"/>
  <c r="AN48" i="1"/>
  <c r="AN47" i="1"/>
  <c r="AN46" i="1"/>
  <c r="AN45" i="1"/>
  <c r="AN44" i="1"/>
  <c r="AN42" i="1"/>
  <c r="AN40" i="1"/>
  <c r="AN43" i="1"/>
  <c r="AN41" i="1"/>
  <c r="AN38" i="1"/>
  <c r="AN39" i="1"/>
  <c r="AN37" i="1"/>
  <c r="AN36" i="1"/>
  <c r="AN35" i="1"/>
  <c r="AN34" i="1"/>
  <c r="AN32" i="1"/>
  <c r="AN33" i="1"/>
  <c r="AN30" i="1"/>
  <c r="AN31" i="1"/>
  <c r="AN29" i="1"/>
  <c r="AN28" i="1"/>
  <c r="AN27" i="1"/>
  <c r="AN26" i="1"/>
  <c r="AN25" i="1"/>
  <c r="AN24" i="1"/>
  <c r="AN21" i="1"/>
  <c r="AN23" i="1"/>
  <c r="AN22" i="1"/>
  <c r="AN20" i="1"/>
  <c r="AN18" i="1"/>
  <c r="AN19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4" i="1"/>
  <c r="AN3" i="1"/>
  <c r="AN5" i="1"/>
  <c r="AN63" i="1"/>
  <c r="R64" i="1"/>
  <c r="O65" i="1"/>
  <c r="P63" i="1"/>
  <c r="Q63" i="1"/>
  <c r="V63" i="1"/>
  <c r="L64" i="1"/>
  <c r="BC10" i="1"/>
  <c r="AS4" i="1" l="1"/>
  <c r="AS13" i="1"/>
  <c r="AS19" i="1"/>
  <c r="AS11" i="1"/>
  <c r="AS12" i="1"/>
  <c r="AS22" i="1"/>
  <c r="AS16" i="1"/>
  <c r="AS20" i="1"/>
  <c r="AS23" i="1"/>
  <c r="AS17" i="1"/>
  <c r="AS9" i="1"/>
  <c r="AS15" i="1"/>
  <c r="AS8" i="1"/>
  <c r="AS5" i="1"/>
  <c r="AS6" i="1"/>
  <c r="AS62" i="1"/>
  <c r="AS59" i="1"/>
  <c r="R65" i="1"/>
  <c r="O66" i="1"/>
  <c r="P64" i="1"/>
  <c r="Q64" i="1"/>
  <c r="V64" i="1"/>
  <c r="L65" i="1"/>
  <c r="BC18" i="1"/>
  <c r="BC13" i="1"/>
  <c r="BC19" i="1" s="1"/>
  <c r="BC12" i="1"/>
  <c r="AS14" i="1" l="1"/>
  <c r="AS21" i="1"/>
  <c r="AS18" i="1"/>
  <c r="AS10" i="1"/>
  <c r="AS7" i="1"/>
  <c r="AT14" i="1"/>
  <c r="AV14" i="1"/>
  <c r="AW14" i="1" s="1"/>
  <c r="AT21" i="1"/>
  <c r="AT4" i="1"/>
  <c r="AV13" i="1"/>
  <c r="AW13" i="1" s="1"/>
  <c r="AT13" i="1"/>
  <c r="AT18" i="1"/>
  <c r="AV18" i="1"/>
  <c r="AW18" i="1" s="1"/>
  <c r="AV19" i="1"/>
  <c r="AW19" i="1" s="1"/>
  <c r="AT19" i="1"/>
  <c r="AT11" i="1"/>
  <c r="AT12" i="1"/>
  <c r="AT10" i="1"/>
  <c r="AT22" i="1"/>
  <c r="AV22" i="1"/>
  <c r="AW22" i="1" s="1"/>
  <c r="AT16" i="1"/>
  <c r="AV16" i="1"/>
  <c r="AW16" i="1" s="1"/>
  <c r="AT20" i="1"/>
  <c r="AT7" i="1"/>
  <c r="AT23" i="1"/>
  <c r="AT17" i="1"/>
  <c r="AV17" i="1"/>
  <c r="AW17" i="1" s="1"/>
  <c r="AT9" i="1"/>
  <c r="AV15" i="1"/>
  <c r="AW15" i="1" s="1"/>
  <c r="AT15" i="1"/>
  <c r="AT8" i="1"/>
  <c r="AV5" i="1"/>
  <c r="AW5" i="1" s="1"/>
  <c r="AT5" i="1"/>
  <c r="AT6" i="1"/>
  <c r="AT62" i="1"/>
  <c r="AT59" i="1"/>
  <c r="R66" i="1"/>
  <c r="O67" i="1"/>
  <c r="P65" i="1"/>
  <c r="Q65" i="1"/>
  <c r="V65" i="1"/>
  <c r="L66" i="1"/>
  <c r="AS61" i="1"/>
  <c r="AS47" i="1"/>
  <c r="AS48" i="1"/>
  <c r="AS50" i="1"/>
  <c r="AS49" i="1"/>
  <c r="AS51" i="1"/>
  <c r="AS52" i="1"/>
  <c r="AS54" i="1"/>
  <c r="AS53" i="1"/>
  <c r="AS56" i="1"/>
  <c r="AS55" i="1"/>
  <c r="AS57" i="1"/>
  <c r="AS60" i="1"/>
  <c r="AS58" i="1"/>
  <c r="AS45" i="1"/>
  <c r="AS46" i="1"/>
  <c r="AS63" i="1"/>
  <c r="AS3" i="1"/>
  <c r="AS24" i="1"/>
  <c r="AS25" i="1"/>
  <c r="AS26" i="1"/>
  <c r="AS27" i="1"/>
  <c r="AS28" i="1"/>
  <c r="AS29" i="1"/>
  <c r="AS31" i="1"/>
  <c r="AS30" i="1"/>
  <c r="AS33" i="1"/>
  <c r="AU23" i="1"/>
  <c r="AV23" i="1" s="1"/>
  <c r="AW23" i="1" s="1"/>
  <c r="AU24" i="1"/>
  <c r="AU25" i="1"/>
  <c r="AU26" i="1"/>
  <c r="AU5" i="1"/>
  <c r="AU11" i="1"/>
  <c r="AV11" i="1" s="1"/>
  <c r="AW11" i="1" s="1"/>
  <c r="AU21" i="1"/>
  <c r="AV21" i="1" s="1"/>
  <c r="AW21" i="1" s="1"/>
  <c r="AU22" i="1"/>
  <c r="AU27" i="1"/>
  <c r="AU28" i="1"/>
  <c r="AU29" i="1"/>
  <c r="AU30" i="1"/>
  <c r="AU31" i="1"/>
  <c r="AU32" i="1"/>
  <c r="AU33" i="1"/>
  <c r="AU34" i="1"/>
  <c r="AU35" i="1"/>
  <c r="AU12" i="1"/>
  <c r="AV12" i="1" s="1"/>
  <c r="AW12" i="1" s="1"/>
  <c r="AU37" i="1"/>
  <c r="AU38" i="1"/>
  <c r="AU39" i="1"/>
  <c r="AU40" i="1"/>
  <c r="AU41" i="1"/>
  <c r="AU42" i="1"/>
  <c r="AU43" i="1"/>
  <c r="AU61" i="1"/>
  <c r="AU3" i="1"/>
  <c r="AU4" i="1"/>
  <c r="AV4" i="1" s="1"/>
  <c r="AW4" i="1" s="1"/>
  <c r="AU20" i="1"/>
  <c r="AV20" i="1" s="1"/>
  <c r="AW20" i="1" s="1"/>
  <c r="AU36" i="1"/>
  <c r="AU44" i="1"/>
  <c r="AU46" i="1"/>
  <c r="AU48" i="1"/>
  <c r="AU49" i="1"/>
  <c r="AU50" i="1"/>
  <c r="AU51" i="1"/>
  <c r="AU52" i="1"/>
  <c r="AU45" i="1"/>
  <c r="AU47" i="1"/>
  <c r="AU53" i="1"/>
  <c r="AU54" i="1"/>
  <c r="AU55" i="1"/>
  <c r="AU56" i="1"/>
  <c r="AU57" i="1"/>
  <c r="AU58" i="1"/>
  <c r="AU59" i="1"/>
  <c r="AV59" i="1" s="1"/>
  <c r="AW59" i="1" s="1"/>
  <c r="AU60" i="1"/>
  <c r="AU63" i="1"/>
  <c r="AU6" i="1"/>
  <c r="AV6" i="1" s="1"/>
  <c r="AW6" i="1" s="1"/>
  <c r="AU7" i="1"/>
  <c r="AV7" i="1" s="1"/>
  <c r="AW7" i="1" s="1"/>
  <c r="AU8" i="1"/>
  <c r="AV8" i="1" s="1"/>
  <c r="AW8" i="1" s="1"/>
  <c r="AU9" i="1"/>
  <c r="AV9" i="1" s="1"/>
  <c r="AW9" i="1" s="1"/>
  <c r="AU10" i="1"/>
  <c r="AV10" i="1" s="1"/>
  <c r="AW10" i="1" s="1"/>
  <c r="AU62" i="1"/>
  <c r="AV62" i="1" s="1"/>
  <c r="AW62" i="1" s="1"/>
  <c r="AU14" i="1"/>
  <c r="AU15" i="1"/>
  <c r="AU16" i="1"/>
  <c r="AU17" i="1"/>
  <c r="AU18" i="1"/>
  <c r="AU13" i="1"/>
  <c r="AU19" i="1"/>
  <c r="BC14" i="1"/>
  <c r="AS44" i="1"/>
  <c r="AS42" i="1"/>
  <c r="AS40" i="1"/>
  <c r="AS41" i="1"/>
  <c r="AS43" i="1"/>
  <c r="AS38" i="1"/>
  <c r="AS39" i="1"/>
  <c r="AS37" i="1"/>
  <c r="AS36" i="1"/>
  <c r="AS35" i="1"/>
  <c r="AS34" i="1"/>
  <c r="AS32" i="1"/>
  <c r="R67" i="1" l="1"/>
  <c r="O68" i="1"/>
  <c r="P66" i="1"/>
  <c r="Q66" i="1"/>
  <c r="V66" i="1"/>
  <c r="L67" i="1"/>
  <c r="AV61" i="1"/>
  <c r="AW61" i="1" s="1"/>
  <c r="AT61" i="1"/>
  <c r="AT47" i="1"/>
  <c r="AV47" i="1"/>
  <c r="AW47" i="1" s="1"/>
  <c r="AV48" i="1"/>
  <c r="AW48" i="1" s="1"/>
  <c r="AT48" i="1"/>
  <c r="AT50" i="1"/>
  <c r="AV50" i="1"/>
  <c r="AW50" i="1" s="1"/>
  <c r="AT49" i="1"/>
  <c r="AV49" i="1"/>
  <c r="AW49" i="1" s="1"/>
  <c r="AV51" i="1"/>
  <c r="AW51" i="1" s="1"/>
  <c r="AT51" i="1"/>
  <c r="AT52" i="1"/>
  <c r="AV52" i="1"/>
  <c r="AW52" i="1" s="1"/>
  <c r="AT54" i="1"/>
  <c r="AV54" i="1"/>
  <c r="AW54" i="1" s="1"/>
  <c r="AT53" i="1"/>
  <c r="AV53" i="1"/>
  <c r="AW53" i="1" s="1"/>
  <c r="AV56" i="1"/>
  <c r="AW56" i="1" s="1"/>
  <c r="AT56" i="1"/>
  <c r="AV55" i="1"/>
  <c r="AW55" i="1" s="1"/>
  <c r="AT55" i="1"/>
  <c r="AV57" i="1"/>
  <c r="AW57" i="1" s="1"/>
  <c r="AT57" i="1"/>
  <c r="AV60" i="1"/>
  <c r="AW60" i="1" s="1"/>
  <c r="AT60" i="1"/>
  <c r="AT58" i="1"/>
  <c r="AV58" i="1"/>
  <c r="AW58" i="1" s="1"/>
  <c r="AT45" i="1"/>
  <c r="AV45" i="1"/>
  <c r="AW45" i="1" s="1"/>
  <c r="AV46" i="1"/>
  <c r="AW46" i="1" s="1"/>
  <c r="AT46" i="1"/>
  <c r="AV63" i="1"/>
  <c r="AW63" i="1" s="1"/>
  <c r="AT63" i="1"/>
  <c r="AT3" i="1"/>
  <c r="AV3" i="1"/>
  <c r="AW3" i="1" s="1"/>
  <c r="AT24" i="1"/>
  <c r="AV24" i="1"/>
  <c r="AW24" i="1" s="1"/>
  <c r="AV25" i="1"/>
  <c r="AW25" i="1" s="1"/>
  <c r="AT25" i="1"/>
  <c r="AT26" i="1"/>
  <c r="AV26" i="1"/>
  <c r="AW26" i="1" s="1"/>
  <c r="AV27" i="1"/>
  <c r="AW27" i="1" s="1"/>
  <c r="AT27" i="1"/>
  <c r="AT28" i="1"/>
  <c r="AV28" i="1"/>
  <c r="AW28" i="1" s="1"/>
  <c r="AV29" i="1"/>
  <c r="AW29" i="1" s="1"/>
  <c r="AT29" i="1"/>
  <c r="AT31" i="1"/>
  <c r="AV31" i="1"/>
  <c r="AW31" i="1" s="1"/>
  <c r="AV30" i="1"/>
  <c r="AW30" i="1" s="1"/>
  <c r="AT30" i="1"/>
  <c r="AT33" i="1"/>
  <c r="AV33" i="1"/>
  <c r="AW33" i="1" s="1"/>
  <c r="AX14" i="1"/>
  <c r="AY14" i="1" s="1"/>
  <c r="AX3" i="1"/>
  <c r="AY3" i="1" s="1"/>
  <c r="AX10" i="1"/>
  <c r="AY10" i="1" s="1"/>
  <c r="AX9" i="1"/>
  <c r="AY9" i="1" s="1"/>
  <c r="AX8" i="1"/>
  <c r="AY8" i="1" s="1"/>
  <c r="AX7" i="1"/>
  <c r="AY7" i="1" s="1"/>
  <c r="AX6" i="1"/>
  <c r="AY6" i="1" s="1"/>
  <c r="AX5" i="1"/>
  <c r="AY5" i="1" s="1"/>
  <c r="AX63" i="1"/>
  <c r="AX60" i="1"/>
  <c r="AX59" i="1"/>
  <c r="AY59" i="1" s="1"/>
  <c r="AX58" i="1"/>
  <c r="AX57" i="1"/>
  <c r="AY57" i="1" s="1"/>
  <c r="AX56" i="1"/>
  <c r="AY56" i="1" s="1"/>
  <c r="AX55" i="1"/>
  <c r="AY55" i="1" s="1"/>
  <c r="AX54" i="1"/>
  <c r="AX53" i="1"/>
  <c r="AX47" i="1"/>
  <c r="AX46" i="1"/>
  <c r="AX45" i="1"/>
  <c r="AX44" i="1"/>
  <c r="AX37" i="1"/>
  <c r="AX52" i="1"/>
  <c r="AX51" i="1"/>
  <c r="AX50" i="1"/>
  <c r="AX49" i="1"/>
  <c r="AX48" i="1"/>
  <c r="AX36" i="1"/>
  <c r="AX20" i="1"/>
  <c r="AY20" i="1" s="1"/>
  <c r="AX62" i="1"/>
  <c r="AY62" i="1" s="1"/>
  <c r="AX43" i="1"/>
  <c r="AY43" i="1" s="1"/>
  <c r="AX42" i="1"/>
  <c r="AY42" i="1" s="1"/>
  <c r="AX41" i="1"/>
  <c r="AY41" i="1" s="1"/>
  <c r="AX40" i="1"/>
  <c r="AY40" i="1" s="1"/>
  <c r="AX39" i="1"/>
  <c r="AY39" i="1" s="1"/>
  <c r="AX38" i="1"/>
  <c r="AY38" i="1" s="1"/>
  <c r="AX13" i="1"/>
  <c r="AY13" i="1" s="1"/>
  <c r="AX12" i="1"/>
  <c r="AY12" i="1" s="1"/>
  <c r="AX11" i="1"/>
  <c r="AY11" i="1" s="1"/>
  <c r="AX4" i="1"/>
  <c r="AY4" i="1" s="1"/>
  <c r="AX35" i="1"/>
  <c r="AY35" i="1" s="1"/>
  <c r="AX34" i="1"/>
  <c r="AY34" i="1" s="1"/>
  <c r="AX33" i="1"/>
  <c r="AX32" i="1"/>
  <c r="AY32" i="1" s="1"/>
  <c r="AX31" i="1"/>
  <c r="AY31" i="1" s="1"/>
  <c r="AX30" i="1"/>
  <c r="AY30" i="1" s="1"/>
  <c r="AX29" i="1"/>
  <c r="AY29" i="1" s="1"/>
  <c r="AX28" i="1"/>
  <c r="AY28" i="1" s="1"/>
  <c r="AX27" i="1"/>
  <c r="AX21" i="1"/>
  <c r="AY21" i="1" s="1"/>
  <c r="AX26" i="1"/>
  <c r="AX25" i="1"/>
  <c r="AX24" i="1"/>
  <c r="AX23" i="1"/>
  <c r="AY23" i="1" s="1"/>
  <c r="AX22" i="1"/>
  <c r="AY22" i="1" s="1"/>
  <c r="AX19" i="1"/>
  <c r="AY19" i="1" s="1"/>
  <c r="AX61" i="1"/>
  <c r="AX18" i="1"/>
  <c r="AY18" i="1" s="1"/>
  <c r="AX17" i="1"/>
  <c r="AY17" i="1" s="1"/>
  <c r="AX16" i="1"/>
  <c r="AY16" i="1" s="1"/>
  <c r="BC15" i="1"/>
  <c r="BC16" i="1" s="1"/>
  <c r="BC17" i="1" s="1"/>
  <c r="AX15" i="1"/>
  <c r="AY15" i="1" s="1"/>
  <c r="AT44" i="1"/>
  <c r="AV44" i="1"/>
  <c r="AW44" i="1" s="1"/>
  <c r="AT42" i="1"/>
  <c r="AV42" i="1"/>
  <c r="AW42" i="1" s="1"/>
  <c r="AT40" i="1"/>
  <c r="AV40" i="1"/>
  <c r="AW40" i="1" s="1"/>
  <c r="AT41" i="1"/>
  <c r="AV41" i="1"/>
  <c r="AW41" i="1" s="1"/>
  <c r="AV43" i="1"/>
  <c r="AW43" i="1" s="1"/>
  <c r="AT43" i="1"/>
  <c r="AV38" i="1"/>
  <c r="AW38" i="1" s="1"/>
  <c r="AT38" i="1"/>
  <c r="AT39" i="1"/>
  <c r="AV39" i="1"/>
  <c r="AW39" i="1" s="1"/>
  <c r="AT37" i="1"/>
  <c r="AV37" i="1"/>
  <c r="AW37" i="1" s="1"/>
  <c r="AT36" i="1"/>
  <c r="AV36" i="1"/>
  <c r="AW36" i="1" s="1"/>
  <c r="AV35" i="1"/>
  <c r="AW35" i="1" s="1"/>
  <c r="AT35" i="1"/>
  <c r="AV34" i="1"/>
  <c r="AW34" i="1" s="1"/>
  <c r="AT34" i="1"/>
  <c r="AT32" i="1"/>
  <c r="AV32" i="1"/>
  <c r="AW32" i="1" s="1"/>
  <c r="AY63" i="1" l="1"/>
  <c r="AY60" i="1"/>
  <c r="AY58" i="1"/>
  <c r="AY54" i="1"/>
  <c r="AY53" i="1"/>
  <c r="AY37" i="1"/>
  <c r="AY52" i="1"/>
  <c r="AY36" i="1"/>
  <c r="AY24" i="1"/>
  <c r="R68" i="1"/>
  <c r="O69" i="1"/>
  <c r="P67" i="1"/>
  <c r="Q67" i="1"/>
  <c r="V67" i="1"/>
  <c r="L68" i="1"/>
  <c r="AY47" i="1"/>
  <c r="AY46" i="1"/>
  <c r="AY45" i="1"/>
  <c r="AY44" i="1"/>
  <c r="AY51" i="1"/>
  <c r="AY50" i="1"/>
  <c r="AY49" i="1"/>
  <c r="AY48" i="1"/>
  <c r="AY33" i="1"/>
  <c r="AY27" i="1"/>
  <c r="AY26" i="1"/>
  <c r="AY25" i="1"/>
  <c r="AY61" i="1"/>
  <c r="R69" i="1" l="1"/>
  <c r="O70" i="1"/>
  <c r="P68" i="1"/>
  <c r="Q68" i="1"/>
  <c r="V68" i="1"/>
  <c r="L69" i="1"/>
  <c r="R70" i="1" l="1"/>
  <c r="O71" i="1"/>
  <c r="P69" i="1"/>
  <c r="Q69" i="1"/>
  <c r="V69" i="1"/>
  <c r="L70" i="1"/>
  <c r="R71" i="1" l="1"/>
  <c r="O72" i="1"/>
  <c r="P70" i="1"/>
  <c r="Q70" i="1"/>
  <c r="V70" i="1"/>
  <c r="L71" i="1"/>
  <c r="R72" i="1" l="1"/>
  <c r="O73" i="1"/>
  <c r="P71" i="1"/>
  <c r="Q71" i="1"/>
  <c r="V71" i="1"/>
  <c r="L72" i="1"/>
  <c r="R73" i="1" l="1"/>
  <c r="O74" i="1"/>
  <c r="R74" i="1" s="1"/>
  <c r="T67" i="1" s="1"/>
  <c r="P72" i="1"/>
  <c r="Q72" i="1"/>
  <c r="V72" i="1"/>
  <c r="L73" i="1"/>
  <c r="T70" i="1" l="1"/>
  <c r="T69" i="1"/>
  <c r="T73" i="1"/>
  <c r="T68" i="1"/>
  <c r="T66" i="1"/>
  <c r="T65" i="1"/>
  <c r="T63" i="1"/>
  <c r="T64" i="1"/>
  <c r="T62" i="1"/>
  <c r="T61" i="1"/>
  <c r="T60" i="1"/>
  <c r="T58" i="1"/>
  <c r="T59" i="1"/>
  <c r="T57" i="1"/>
  <c r="T56" i="1"/>
  <c r="T55" i="1"/>
  <c r="T54" i="1"/>
  <c r="T53" i="1"/>
  <c r="T52" i="1"/>
  <c r="T51" i="1"/>
  <c r="T50" i="1"/>
  <c r="T49" i="1"/>
  <c r="T48" i="1"/>
  <c r="T47" i="1"/>
  <c r="T45" i="1"/>
  <c r="T46" i="1"/>
  <c r="T44" i="1"/>
  <c r="T42" i="1"/>
  <c r="T43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7" i="1"/>
  <c r="T28" i="1"/>
  <c r="T26" i="1"/>
  <c r="T24" i="1"/>
  <c r="T23" i="1"/>
  <c r="T25" i="1"/>
  <c r="T22" i="1"/>
  <c r="T21" i="1"/>
  <c r="T19" i="1"/>
  <c r="T20" i="1"/>
  <c r="T17" i="1"/>
  <c r="T18" i="1"/>
  <c r="T15" i="1"/>
  <c r="T16" i="1"/>
  <c r="T14" i="1"/>
  <c r="T12" i="1"/>
  <c r="T13" i="1"/>
  <c r="T11" i="1"/>
  <c r="T10" i="1"/>
  <c r="T9" i="1"/>
  <c r="T8" i="1"/>
  <c r="T6" i="1"/>
  <c r="T7" i="1"/>
  <c r="T4" i="1"/>
  <c r="T3" i="1"/>
  <c r="BB9" i="1" s="1"/>
  <c r="T5" i="1"/>
  <c r="T74" i="1"/>
  <c r="W6" i="1"/>
  <c r="W25" i="1"/>
  <c r="W63" i="1"/>
  <c r="W39" i="1"/>
  <c r="W14" i="1"/>
  <c r="W46" i="1"/>
  <c r="W11" i="1"/>
  <c r="W33" i="1"/>
  <c r="W22" i="1"/>
  <c r="W30" i="1"/>
  <c r="W26" i="1"/>
  <c r="W69" i="1"/>
  <c r="W47" i="1"/>
  <c r="W13" i="1"/>
  <c r="W56" i="1"/>
  <c r="W61" i="1"/>
  <c r="W38" i="1"/>
  <c r="W23" i="1"/>
  <c r="W57" i="1"/>
  <c r="W55" i="1"/>
  <c r="W48" i="1"/>
  <c r="W8" i="1"/>
  <c r="W19" i="1"/>
  <c r="W20" i="1"/>
  <c r="W45" i="1"/>
  <c r="W50" i="1"/>
  <c r="W9" i="1"/>
  <c r="W16" i="1"/>
  <c r="W34" i="1"/>
  <c r="W44" i="1"/>
  <c r="W21" i="1"/>
  <c r="W52" i="1"/>
  <c r="W58" i="1"/>
  <c r="W15" i="1"/>
  <c r="W59" i="1"/>
  <c r="W5" i="1"/>
  <c r="P73" i="1"/>
  <c r="Q73" i="1"/>
  <c r="V73" i="1"/>
  <c r="L74" i="1"/>
  <c r="T71" i="1"/>
  <c r="T72" i="1"/>
  <c r="W53" i="1"/>
  <c r="W70" i="1"/>
  <c r="W37" i="1"/>
  <c r="W32" i="1"/>
  <c r="W41" i="1"/>
  <c r="W60" i="1"/>
  <c r="W10" i="1"/>
  <c r="W65" i="1"/>
  <c r="W66" i="1"/>
  <c r="W51" i="1"/>
  <c r="W12" i="1"/>
  <c r="W64" i="1"/>
  <c r="W42" i="1"/>
  <c r="W68" i="1"/>
  <c r="W29" i="1"/>
  <c r="W27" i="1"/>
  <c r="W3" i="1"/>
  <c r="W71" i="1"/>
  <c r="W43" i="1"/>
  <c r="W49" i="1"/>
  <c r="W73" i="1" l="1"/>
  <c r="W67" i="1"/>
  <c r="W4" i="1"/>
  <c r="W18" i="1"/>
  <c r="W40" i="1"/>
  <c r="W28" i="1"/>
  <c r="W62" i="1"/>
  <c r="W24" i="1"/>
  <c r="W36" i="1"/>
  <c r="W54" i="1"/>
  <c r="W72" i="1"/>
  <c r="W17" i="1"/>
  <c r="W35" i="1"/>
  <c r="W31" i="1"/>
  <c r="W7" i="1"/>
  <c r="P74" i="1"/>
  <c r="Q74" i="1"/>
  <c r="V74" i="1"/>
  <c r="BB10" i="1"/>
  <c r="S70" i="1" l="1"/>
  <c r="S73" i="1"/>
  <c r="S71" i="1"/>
  <c r="S69" i="1"/>
  <c r="S72" i="1"/>
  <c r="S68" i="1"/>
  <c r="S67" i="1"/>
  <c r="S66" i="1"/>
  <c r="S65" i="1"/>
  <c r="S64" i="1"/>
  <c r="S63" i="1"/>
  <c r="S62" i="1"/>
  <c r="S61" i="1"/>
  <c r="S60" i="1"/>
  <c r="S59" i="1"/>
  <c r="S57" i="1"/>
  <c r="S58" i="1"/>
  <c r="S55" i="1"/>
  <c r="S56" i="1"/>
  <c r="S54" i="1"/>
  <c r="S53" i="1"/>
  <c r="S52" i="1"/>
  <c r="S50" i="1"/>
  <c r="S51" i="1"/>
  <c r="S49" i="1"/>
  <c r="S48" i="1"/>
  <c r="S47" i="1"/>
  <c r="S46" i="1"/>
  <c r="S45" i="1"/>
  <c r="S44" i="1"/>
  <c r="S41" i="1"/>
  <c r="S42" i="1"/>
  <c r="S43" i="1"/>
  <c r="S39" i="1"/>
  <c r="S40" i="1"/>
  <c r="S38" i="1"/>
  <c r="S37" i="1"/>
  <c r="S36" i="1"/>
  <c r="S35" i="1"/>
  <c r="S34" i="1"/>
  <c r="S33" i="1"/>
  <c r="S31" i="1"/>
  <c r="S32" i="1"/>
  <c r="S29" i="1"/>
  <c r="S30" i="1"/>
  <c r="S28" i="1"/>
  <c r="S27" i="1"/>
  <c r="S26" i="1"/>
  <c r="S24" i="1"/>
  <c r="S25" i="1"/>
  <c r="S22" i="1"/>
  <c r="S21" i="1"/>
  <c r="S23" i="1"/>
  <c r="S19" i="1"/>
  <c r="S20" i="1"/>
  <c r="S18" i="1"/>
  <c r="S16" i="1"/>
  <c r="S17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74" i="1"/>
  <c r="X74" i="1"/>
  <c r="BB12" i="1"/>
  <c r="BB13" i="1"/>
  <c r="BB19" i="1" s="1"/>
  <c r="BB18" i="1"/>
  <c r="BB14" i="1" l="1"/>
  <c r="X3" i="1"/>
  <c r="X12" i="1"/>
  <c r="X10" i="1"/>
  <c r="X7" i="1"/>
  <c r="X17" i="1"/>
  <c r="X15" i="1"/>
  <c r="X9" i="1"/>
  <c r="X19" i="1"/>
  <c r="X13" i="1"/>
  <c r="X11" i="1"/>
  <c r="X6" i="1"/>
  <c r="X5" i="1"/>
  <c r="X20" i="1"/>
  <c r="X18" i="1"/>
  <c r="X23" i="1"/>
  <c r="X14" i="1"/>
  <c r="X21" i="1"/>
  <c r="X16" i="1"/>
  <c r="X8" i="1"/>
  <c r="X4" i="1"/>
  <c r="X22" i="1"/>
  <c r="X73" i="1"/>
  <c r="X70" i="1"/>
  <c r="Y74" i="1"/>
  <c r="AC15" i="1"/>
  <c r="BB15" i="1"/>
  <c r="BB16" i="1" s="1"/>
  <c r="AC16" i="1"/>
  <c r="AC17" i="1"/>
  <c r="AC18" i="1"/>
  <c r="AC13" i="1"/>
  <c r="AC23" i="1"/>
  <c r="AC24" i="1"/>
  <c r="AC25" i="1"/>
  <c r="AC26" i="1"/>
  <c r="AC27" i="1"/>
  <c r="AC21" i="1"/>
  <c r="AC22" i="1"/>
  <c r="AC28" i="1"/>
  <c r="AC29" i="1"/>
  <c r="AC30" i="1"/>
  <c r="AC31" i="1"/>
  <c r="AC32" i="1"/>
  <c r="AC33" i="1"/>
  <c r="AC34" i="1"/>
  <c r="AC35" i="1"/>
  <c r="AC61" i="1"/>
  <c r="AC12" i="1"/>
  <c r="AC19" i="1"/>
  <c r="AC38" i="1"/>
  <c r="AC39" i="1"/>
  <c r="AC40" i="1"/>
  <c r="AC41" i="1"/>
  <c r="AC42" i="1"/>
  <c r="AC43" i="1"/>
  <c r="AC44" i="1"/>
  <c r="AC4" i="1"/>
  <c r="AC20" i="1"/>
  <c r="AC36" i="1"/>
  <c r="AC48" i="1"/>
  <c r="AC49" i="1"/>
  <c r="AC50" i="1"/>
  <c r="AC51" i="1"/>
  <c r="AC52" i="1"/>
  <c r="AC37" i="1"/>
  <c r="AC45" i="1"/>
  <c r="AC46" i="1"/>
  <c r="AC47" i="1"/>
  <c r="AC53" i="1"/>
  <c r="AC54" i="1"/>
  <c r="AC55" i="1"/>
  <c r="AC56" i="1"/>
  <c r="AC57" i="1"/>
  <c r="AC58" i="1"/>
  <c r="AC59" i="1"/>
  <c r="AC60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3" i="1"/>
  <c r="AD3" i="1" s="1"/>
  <c r="AC6" i="1"/>
  <c r="AC7" i="1"/>
  <c r="AC8" i="1"/>
  <c r="AC9" i="1"/>
  <c r="AC10" i="1"/>
  <c r="AC62" i="1"/>
  <c r="AC5" i="1"/>
  <c r="AC11" i="1"/>
  <c r="AC14" i="1"/>
  <c r="Z23" i="1"/>
  <c r="Z24" i="1"/>
  <c r="Z25" i="1"/>
  <c r="Z26" i="1"/>
  <c r="Z27" i="1"/>
  <c r="Z11" i="1"/>
  <c r="Z21" i="1"/>
  <c r="Z22" i="1"/>
  <c r="Z28" i="1"/>
  <c r="Z29" i="1"/>
  <c r="Z30" i="1"/>
  <c r="Z31" i="1"/>
  <c r="Z32" i="1"/>
  <c r="Z33" i="1"/>
  <c r="Z34" i="1"/>
  <c r="Z35" i="1"/>
  <c r="Z62" i="1"/>
  <c r="Z4" i="1"/>
  <c r="Z12" i="1"/>
  <c r="Z37" i="1"/>
  <c r="Z39" i="1"/>
  <c r="Z40" i="1"/>
  <c r="Z41" i="1"/>
  <c r="Z42" i="1"/>
  <c r="Z43" i="1"/>
  <c r="Z44" i="1"/>
  <c r="Z5" i="1"/>
  <c r="Z20" i="1"/>
  <c r="Z36" i="1"/>
  <c r="Z45" i="1"/>
  <c r="Z48" i="1"/>
  <c r="Z49" i="1"/>
  <c r="Z50" i="1"/>
  <c r="Z51" i="1"/>
  <c r="Z52" i="1"/>
  <c r="Z38" i="1"/>
  <c r="Z46" i="1"/>
  <c r="Z47" i="1"/>
  <c r="Z53" i="1"/>
  <c r="Z54" i="1"/>
  <c r="Z55" i="1"/>
  <c r="Z56" i="1"/>
  <c r="Z57" i="1"/>
  <c r="Z58" i="1"/>
  <c r="Z59" i="1"/>
  <c r="Z60" i="1"/>
  <c r="Z61" i="1"/>
  <c r="Z63" i="1"/>
  <c r="Z64" i="1"/>
  <c r="Z65" i="1"/>
  <c r="Z66" i="1"/>
  <c r="Z67" i="1"/>
  <c r="Z68" i="1"/>
  <c r="Z69" i="1"/>
  <c r="Z70" i="1"/>
  <c r="Z71" i="1"/>
  <c r="Z72" i="1"/>
  <c r="Z73" i="1"/>
  <c r="Z74" i="1"/>
  <c r="AA74" i="1" s="1"/>
  <c r="AB74" i="1" s="1"/>
  <c r="Z6" i="1"/>
  <c r="Z7" i="1"/>
  <c r="Z8" i="1"/>
  <c r="Z9" i="1"/>
  <c r="Z10" i="1"/>
  <c r="Z3" i="1"/>
  <c r="Z14" i="1"/>
  <c r="Z15" i="1"/>
  <c r="Z16" i="1"/>
  <c r="Z17" i="1"/>
  <c r="Z18" i="1"/>
  <c r="Z13" i="1"/>
  <c r="Z19" i="1"/>
  <c r="X71" i="1"/>
  <c r="X69" i="1"/>
  <c r="X72" i="1"/>
  <c r="X68" i="1"/>
  <c r="X67" i="1"/>
  <c r="X66" i="1"/>
  <c r="X65" i="1"/>
  <c r="X64" i="1"/>
  <c r="X60" i="1"/>
  <c r="X57" i="1"/>
  <c r="X58" i="1"/>
  <c r="X49" i="1"/>
  <c r="X46" i="1"/>
  <c r="X41" i="1"/>
  <c r="X42" i="1"/>
  <c r="X40" i="1"/>
  <c r="X37" i="1"/>
  <c r="X35" i="1"/>
  <c r="X63" i="1"/>
  <c r="X62" i="1"/>
  <c r="X61" i="1"/>
  <c r="X59" i="1"/>
  <c r="X55" i="1"/>
  <c r="X47" i="1"/>
  <c r="X44" i="1"/>
  <c r="X43" i="1"/>
  <c r="X38" i="1"/>
  <c r="X34" i="1"/>
  <c r="X56" i="1"/>
  <c r="X54" i="1"/>
  <c r="X53" i="1"/>
  <c r="X52" i="1"/>
  <c r="X50" i="1"/>
  <c r="X51" i="1"/>
  <c r="X48" i="1"/>
  <c r="X45" i="1"/>
  <c r="X39" i="1"/>
  <c r="X36" i="1"/>
  <c r="X33" i="1"/>
  <c r="X31" i="1"/>
  <c r="X32" i="1"/>
  <c r="X29" i="1"/>
  <c r="X30" i="1"/>
  <c r="X28" i="1"/>
  <c r="X27" i="1"/>
  <c r="X26" i="1"/>
  <c r="X24" i="1"/>
  <c r="X25" i="1"/>
  <c r="Y3" i="1" l="1"/>
  <c r="AA3" i="1"/>
  <c r="AB3" i="1" s="1"/>
  <c r="AA12" i="1"/>
  <c r="AB12" i="1" s="1"/>
  <c r="AD12" i="1" s="1"/>
  <c r="Y12" i="1"/>
  <c r="Y10" i="1"/>
  <c r="AA10" i="1"/>
  <c r="AB10" i="1" s="1"/>
  <c r="AD10" i="1" s="1"/>
  <c r="Y7" i="1"/>
  <c r="AA7" i="1"/>
  <c r="AB7" i="1" s="1"/>
  <c r="AD7" i="1" s="1"/>
  <c r="AA17" i="1"/>
  <c r="AB17" i="1" s="1"/>
  <c r="AD17" i="1" s="1"/>
  <c r="Y17" i="1"/>
  <c r="AA15" i="1"/>
  <c r="AB15" i="1" s="1"/>
  <c r="AD15" i="1" s="1"/>
  <c r="Y15" i="1"/>
  <c r="AA9" i="1"/>
  <c r="AB9" i="1" s="1"/>
  <c r="AD9" i="1" s="1"/>
  <c r="Y9" i="1"/>
  <c r="Y19" i="1"/>
  <c r="AA19" i="1"/>
  <c r="AB19" i="1" s="1"/>
  <c r="AD19" i="1" s="1"/>
  <c r="Y13" i="1"/>
  <c r="AA13" i="1"/>
  <c r="AB13" i="1" s="1"/>
  <c r="AD13" i="1" s="1"/>
  <c r="Y11" i="1"/>
  <c r="AA11" i="1"/>
  <c r="AB11" i="1" s="1"/>
  <c r="AD11" i="1" s="1"/>
  <c r="AA6" i="1"/>
  <c r="AB6" i="1" s="1"/>
  <c r="AD6" i="1" s="1"/>
  <c r="Y6" i="1"/>
  <c r="Y5" i="1"/>
  <c r="AA5" i="1"/>
  <c r="AB5" i="1" s="1"/>
  <c r="AD5" i="1" s="1"/>
  <c r="Y20" i="1"/>
  <c r="AA20" i="1"/>
  <c r="AB20" i="1" s="1"/>
  <c r="AD20" i="1" s="1"/>
  <c r="AA18" i="1"/>
  <c r="AB18" i="1" s="1"/>
  <c r="AD18" i="1" s="1"/>
  <c r="Y18" i="1"/>
  <c r="AA23" i="1"/>
  <c r="AB23" i="1" s="1"/>
  <c r="AD23" i="1" s="1"/>
  <c r="Y23" i="1"/>
  <c r="Y14" i="1"/>
  <c r="AA14" i="1"/>
  <c r="AB14" i="1" s="1"/>
  <c r="AD14" i="1" s="1"/>
  <c r="AA21" i="1"/>
  <c r="AB21" i="1" s="1"/>
  <c r="AD21" i="1" s="1"/>
  <c r="Y21" i="1"/>
  <c r="Y16" i="1"/>
  <c r="AA16" i="1"/>
  <c r="AB16" i="1" s="1"/>
  <c r="AD16" i="1" s="1"/>
  <c r="AA8" i="1"/>
  <c r="AB8" i="1" s="1"/>
  <c r="AD8" i="1" s="1"/>
  <c r="Y8" i="1"/>
  <c r="Y4" i="1"/>
  <c r="AA4" i="1"/>
  <c r="AB4" i="1" s="1"/>
  <c r="AD4" i="1" s="1"/>
  <c r="AA22" i="1"/>
  <c r="AB22" i="1" s="1"/>
  <c r="AD22" i="1" s="1"/>
  <c r="Y22" i="1"/>
  <c r="AA73" i="1"/>
  <c r="AB73" i="1" s="1"/>
  <c r="AD73" i="1" s="1"/>
  <c r="Y73" i="1"/>
  <c r="AA70" i="1"/>
  <c r="AB70" i="1" s="1"/>
  <c r="AD70" i="1" s="1"/>
  <c r="Y70" i="1"/>
  <c r="BD16" i="1"/>
  <c r="BB17" i="1"/>
  <c r="BD17" i="1" s="1"/>
  <c r="AA71" i="1"/>
  <c r="AB71" i="1" s="1"/>
  <c r="AD71" i="1" s="1"/>
  <c r="Y71" i="1"/>
  <c r="Y69" i="1"/>
  <c r="AA69" i="1"/>
  <c r="AB69" i="1" s="1"/>
  <c r="AD69" i="1" s="1"/>
  <c r="Y72" i="1"/>
  <c r="AA72" i="1"/>
  <c r="AB72" i="1" s="1"/>
  <c r="AD72" i="1" s="1"/>
  <c r="AA68" i="1"/>
  <c r="AB68" i="1" s="1"/>
  <c r="AD68" i="1" s="1"/>
  <c r="Y68" i="1"/>
  <c r="AA67" i="1"/>
  <c r="AB67" i="1" s="1"/>
  <c r="AD67" i="1" s="1"/>
  <c r="Y67" i="1"/>
  <c r="Y66" i="1"/>
  <c r="AA66" i="1"/>
  <c r="AB66" i="1" s="1"/>
  <c r="AD66" i="1" s="1"/>
  <c r="AA65" i="1"/>
  <c r="AB65" i="1" s="1"/>
  <c r="AD65" i="1" s="1"/>
  <c r="Y65" i="1"/>
  <c r="AA64" i="1"/>
  <c r="AB64" i="1" s="1"/>
  <c r="AD64" i="1" s="1"/>
  <c r="Y64" i="1"/>
  <c r="Y60" i="1"/>
  <c r="AA60" i="1"/>
  <c r="AB60" i="1" s="1"/>
  <c r="AD60" i="1" s="1"/>
  <c r="Y57" i="1"/>
  <c r="AA57" i="1"/>
  <c r="AB57" i="1" s="1"/>
  <c r="AD57" i="1" s="1"/>
  <c r="Y58" i="1"/>
  <c r="AA58" i="1"/>
  <c r="AB58" i="1" s="1"/>
  <c r="AD58" i="1" s="1"/>
  <c r="Y49" i="1"/>
  <c r="AA49" i="1"/>
  <c r="AB49" i="1" s="1"/>
  <c r="AD49" i="1" s="1"/>
  <c r="AA46" i="1"/>
  <c r="AB46" i="1" s="1"/>
  <c r="AD46" i="1" s="1"/>
  <c r="Y46" i="1"/>
  <c r="Y41" i="1"/>
  <c r="AA41" i="1"/>
  <c r="AB41" i="1" s="1"/>
  <c r="AD41" i="1" s="1"/>
  <c r="AA42" i="1"/>
  <c r="AB42" i="1" s="1"/>
  <c r="AD42" i="1" s="1"/>
  <c r="Y42" i="1"/>
  <c r="AA40" i="1"/>
  <c r="AB40" i="1" s="1"/>
  <c r="AD40" i="1" s="1"/>
  <c r="Y40" i="1"/>
  <c r="Y37" i="1"/>
  <c r="AA37" i="1"/>
  <c r="AB37" i="1" s="1"/>
  <c r="AD37" i="1" s="1"/>
  <c r="Y35" i="1"/>
  <c r="AA35" i="1"/>
  <c r="AB35" i="1" s="1"/>
  <c r="AD35" i="1" s="1"/>
  <c r="AA63" i="1"/>
  <c r="AB63" i="1" s="1"/>
  <c r="AD63" i="1" s="1"/>
  <c r="Y63" i="1"/>
  <c r="AA62" i="1"/>
  <c r="AB62" i="1" s="1"/>
  <c r="AD62" i="1" s="1"/>
  <c r="Y62" i="1"/>
  <c r="AA61" i="1"/>
  <c r="AB61" i="1" s="1"/>
  <c r="AD61" i="1" s="1"/>
  <c r="Y61" i="1"/>
  <c r="Y59" i="1"/>
  <c r="AA59" i="1"/>
  <c r="AB59" i="1" s="1"/>
  <c r="AD59" i="1" s="1"/>
  <c r="Y55" i="1"/>
  <c r="AA55" i="1"/>
  <c r="AB55" i="1" s="1"/>
  <c r="AD55" i="1" s="1"/>
  <c r="Y47" i="1"/>
  <c r="AA47" i="1"/>
  <c r="AB47" i="1" s="1"/>
  <c r="AD47" i="1" s="1"/>
  <c r="AA44" i="1"/>
  <c r="AB44" i="1" s="1"/>
  <c r="AD44" i="1" s="1"/>
  <c r="Y44" i="1"/>
  <c r="Y43" i="1"/>
  <c r="AA43" i="1"/>
  <c r="AB43" i="1" s="1"/>
  <c r="AD43" i="1" s="1"/>
  <c r="AA38" i="1"/>
  <c r="AB38" i="1" s="1"/>
  <c r="AD38" i="1" s="1"/>
  <c r="Y38" i="1"/>
  <c r="Y34" i="1"/>
  <c r="AA34" i="1"/>
  <c r="AB34" i="1" s="1"/>
  <c r="AD34" i="1" s="1"/>
  <c r="Y56" i="1"/>
  <c r="AA56" i="1"/>
  <c r="AB56" i="1" s="1"/>
  <c r="AD56" i="1" s="1"/>
  <c r="AA54" i="1"/>
  <c r="AB54" i="1" s="1"/>
  <c r="AD54" i="1" s="1"/>
  <c r="Y54" i="1"/>
  <c r="AA53" i="1"/>
  <c r="AB53" i="1" s="1"/>
  <c r="AD53" i="1" s="1"/>
  <c r="Y53" i="1"/>
  <c r="AA52" i="1"/>
  <c r="AB52" i="1" s="1"/>
  <c r="AD52" i="1" s="1"/>
  <c r="Y52" i="1"/>
  <c r="Y50" i="1"/>
  <c r="AA50" i="1"/>
  <c r="AB50" i="1" s="1"/>
  <c r="AD50" i="1" s="1"/>
  <c r="AA51" i="1"/>
  <c r="AB51" i="1" s="1"/>
  <c r="AD51" i="1" s="1"/>
  <c r="Y51" i="1"/>
  <c r="AA48" i="1"/>
  <c r="AB48" i="1" s="1"/>
  <c r="AD48" i="1" s="1"/>
  <c r="Y48" i="1"/>
  <c r="AA45" i="1"/>
  <c r="AB45" i="1" s="1"/>
  <c r="AD45" i="1" s="1"/>
  <c r="Y45" i="1"/>
  <c r="AA39" i="1"/>
  <c r="AB39" i="1" s="1"/>
  <c r="AD39" i="1" s="1"/>
  <c r="Y39" i="1"/>
  <c r="AA36" i="1"/>
  <c r="AB36" i="1" s="1"/>
  <c r="AD36" i="1" s="1"/>
  <c r="Y36" i="1"/>
  <c r="Y33" i="1"/>
  <c r="AA33" i="1"/>
  <c r="AB33" i="1" s="1"/>
  <c r="AD33" i="1" s="1"/>
  <c r="AA31" i="1"/>
  <c r="AB31" i="1" s="1"/>
  <c r="AD31" i="1" s="1"/>
  <c r="Y31" i="1"/>
  <c r="AA32" i="1"/>
  <c r="AB32" i="1" s="1"/>
  <c r="AD32" i="1" s="1"/>
  <c r="Y32" i="1"/>
  <c r="Y29" i="1"/>
  <c r="AA29" i="1"/>
  <c r="AB29" i="1" s="1"/>
  <c r="AD29" i="1" s="1"/>
  <c r="Y30" i="1"/>
  <c r="AA30" i="1"/>
  <c r="AB30" i="1" s="1"/>
  <c r="AD30" i="1" s="1"/>
  <c r="AA28" i="1"/>
  <c r="AB28" i="1" s="1"/>
  <c r="AD28" i="1" s="1"/>
  <c r="Y28" i="1"/>
  <c r="AA27" i="1"/>
  <c r="AB27" i="1" s="1"/>
  <c r="AD27" i="1" s="1"/>
  <c r="Y27" i="1"/>
  <c r="AA26" i="1"/>
  <c r="AB26" i="1" s="1"/>
  <c r="AD26" i="1" s="1"/>
  <c r="Y26" i="1"/>
  <c r="AA24" i="1"/>
  <c r="AB24" i="1" s="1"/>
  <c r="AD24" i="1" s="1"/>
  <c r="Y24" i="1"/>
  <c r="Y25" i="1"/>
  <c r="AA25" i="1"/>
  <c r="AB25" i="1" s="1"/>
  <c r="AD25" i="1" s="1"/>
  <c r="AD74" i="1"/>
</calcChain>
</file>

<file path=xl/sharedStrings.xml><?xml version="1.0" encoding="utf-8"?>
<sst xmlns="http://schemas.openxmlformats.org/spreadsheetml/2006/main" count="91" uniqueCount="70">
  <si>
    <t>계약 · 기초율 — 주계약</t>
  </si>
  <si>
    <t>위험률 (표에서 온 값)</t>
  </si>
  <si>
    <t>현가율 (이율에서)</t>
  </si>
  <si>
    <t>담보 1: 사망·80% 이상 장해 (집단 유지자(사망X, 80% 이상 장해X))</t>
  </si>
  <si>
    <t>담보 2: 암 진단 (집단 유지자(사망X, 암X))</t>
  </si>
  <si>
    <t>보험료 계산 · 결과 (담보마다)</t>
  </si>
  <si>
    <t>가입나이 x (세)</t>
  </si>
  <si>
    <t>t (경과)</t>
  </si>
  <si>
    <t>연령 x+t</t>
  </si>
  <si>
    <t>사망률</t>
  </si>
  <si>
    <t>80% 이상 장해율</t>
  </si>
  <si>
    <t>암발생률</t>
  </si>
  <si>
    <t>v^t 현가율</t>
  </si>
  <si>
    <t>v^{t+½} 현가율</t>
  </si>
  <si>
    <t>Q 탈퇴율</t>
  </si>
  <si>
    <t>l 유지자수</t>
  </si>
  <si>
    <t>F 납입면제까지 묶은 질병 발생률 (곱 결합)</t>
  </si>
  <si>
    <t>Q′ 납입 탈퇴율</t>
  </si>
  <si>
    <t>l′ 납입자수</t>
  </si>
  <si>
    <t>d 지급자수 (급부 발생자)</t>
  </si>
  <si>
    <t>D 유지자수의 현가</t>
  </si>
  <si>
    <t>D′ 납입자수의 현가</t>
  </si>
  <si>
    <t>N 유지자수 현가의 누계</t>
  </si>
  <si>
    <t>N′ 납입자수 현가의 누계</t>
  </si>
  <si>
    <t>S 보장금액의 배수</t>
  </si>
  <si>
    <t>C 급부 발생자의 현가</t>
  </si>
  <si>
    <t>M 보험금 현가의 누계</t>
  </si>
  <si>
    <t>V 연말 책임준비금 (1원당)</t>
  </si>
  <si>
    <t>V^{10만} 10만원당 책임준비금 (원)</t>
  </si>
  <si>
    <t>해약공제 해약공제</t>
  </si>
  <si>
    <t>W^{표준} 표준형 해지환급금 (1원당)</t>
  </si>
  <si>
    <t>W 해지환급금 (1원당)</t>
  </si>
  <si>
    <t>납입누계 납입보험료 누계 (1원당)</t>
  </si>
  <si>
    <t>환급률 환급률</t>
  </si>
  <si>
    <t>사망·80% 이상 장해</t>
  </si>
  <si>
    <t>암 진단</t>
  </si>
  <si>
    <t>합계</t>
  </si>
  <si>
    <t>성별</t>
  </si>
  <si>
    <t>남</t>
  </si>
  <si>
    <t>보장기간 n (년)</t>
  </si>
  <si>
    <t>보험가입금액 (원)</t>
  </si>
  <si>
    <t>납입기간 m (년)</t>
  </si>
  <si>
    <t>납입주기 k (연 납입횟수)</t>
  </si>
  <si>
    <t>보장금액 배수</t>
  </si>
  <si>
    <t>적용이율 i</t>
  </si>
  <si>
    <t>보장금액 (원) = 가입금액 × 배수</t>
  </si>
  <si>
    <t>현가율 v</t>
  </si>
  <si>
    <t>α_P (적용값 — n &lt; 20 이면 × n/20)</t>
  </si>
  <si>
    <t>표준이율 (해약공제 기준 신계약비의 표준기초율 값에)</t>
  </si>
  <si>
    <t>α^표준 (표준이율로 같은 식을 계산한 신계약비 — 앱이 계산한 값)</t>
  </si>
  <si>
    <t>α_S</t>
  </si>
  <si>
    <t>N* 연납 환산 납입기수</t>
  </si>
  <si>
    <t>β_S</t>
  </si>
  <si>
    <t>PVB 보험금의 현가</t>
  </si>
  <si>
    <t>β_G</t>
  </si>
  <si>
    <t>PVB′ 해지급부를 더한 현가</t>
  </si>
  <si>
    <t>—</t>
  </si>
  <si>
    <t>β′</t>
  </si>
  <si>
    <t>P 순보험료 (1원당)</t>
  </si>
  <si>
    <t>γ</t>
  </si>
  <si>
    <t>P_base 기준연납순보험료</t>
  </si>
  <si>
    <t>ρ 납입기간 중 해지환급금 비율 (저해지 — 표준형 0)</t>
  </si>
  <si>
    <t>G 영업보험료 (1원당)</t>
  </si>
  <si>
    <t>G₁ 1원당 보험료 (소수 6자리)</t>
  </si>
  <si>
    <t>값은 계약·기초율과 위험률뿐 — 현가율부터는 모두 수식입니다. 담보마다 다른 값(기간·배수)은 맨 오른쪽 결과 칸에 있습니다.</t>
  </si>
  <si>
    <t>10만원당 보험료 (원)</t>
  </si>
  <si>
    <t>담보 보험료 (원) = 10만원당 × 보장금액/10만</t>
  </si>
  <si>
    <t>P_β 준비금 산출용 순보험료</t>
  </si>
  <si>
    <t>α^공제 해약공제 기준 신계약비</t>
  </si>
  <si>
    <t>담보 보험료의 합이 이 단위의 보험료입니다. 10만원당 보험료는 담보마다 원 단위로 반올림한 뒤 더합니다.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</si>
</sst>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2" x14ac:knownFonts="1">
    <font>
      <sz val="11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4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F3" sqref="F3"/>
    </sheetView>
  </sheetViews>
  <sheetFormatPr defaultRowHeight="17" x14ac:dyDescent="0.45"/>
  <cols>
    <col min="1" max="1" width="30" customWidth="1"/>
    <col min="2" max="2" width="16" customWidth="1"/>
    <col min="3" max="3" width="3" customWidth="1"/>
    <col min="4" max="4" width="7" customWidth="1"/>
    <col min="5" max="5" width="8" customWidth="1"/>
    <col min="6" max="52" width="13" customWidth="1"/>
    <col min="53" max="53" width="44" customWidth="1"/>
    <col min="54" max="55" width="16" customWidth="1"/>
    <col min="56" max="56" width="14" customWidth="1"/>
  </cols>
  <sheetData>
    <row r="1" spans="1:56" x14ac:dyDescent="0.45">
      <c r="A1" t="s">
        <v>0</v>
      </c>
      <c r="F1" t="s">
        <v>1</v>
      </c>
      <c r="I1" t="s">
        <v>2</v>
      </c>
      <c r="K1" t="s">
        <v>3</v>
      </c>
      <c r="AF1" t="s">
        <v>4</v>
      </c>
      <c r="BA1" t="s">
        <v>5</v>
      </c>
    </row>
    <row r="2" spans="1:56" x14ac:dyDescent="0.45">
      <c r="A2" t="s">
        <v>6</v>
      </c>
      <c r="B2" s="4">
        <v>40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20</v>
      </c>
      <c r="AM2" t="s">
        <v>21</v>
      </c>
      <c r="AN2" t="s">
        <v>22</v>
      </c>
      <c r="AO2" t="s">
        <v>23</v>
      </c>
      <c r="AP2" t="s">
        <v>24</v>
      </c>
      <c r="AQ2" t="s">
        <v>25</v>
      </c>
      <c r="AR2" t="s">
        <v>26</v>
      </c>
      <c r="AS2" t="s">
        <v>27</v>
      </c>
      <c r="AT2" t="s">
        <v>28</v>
      </c>
      <c r="AU2" t="s">
        <v>29</v>
      </c>
      <c r="AV2" t="s">
        <v>30</v>
      </c>
      <c r="AW2" t="s">
        <v>31</v>
      </c>
      <c r="AX2" t="s">
        <v>32</v>
      </c>
      <c r="AY2" t="s">
        <v>33</v>
      </c>
      <c r="BB2" t="s">
        <v>34</v>
      </c>
      <c r="BC2" t="s">
        <v>35</v>
      </c>
      <c r="BD2" t="s">
        <v>36</v>
      </c>
    </row>
    <row r="3" spans="1:56" x14ac:dyDescent="0.45">
      <c r="A3" t="s">
        <v>37</v>
      </c>
      <c r="B3" t="s">
        <v>38</v>
      </c>
      <c r="D3" s="1">
        <v>0</v>
      </c>
      <c r="E3" s="1">
        <f t="shared" ref="E3:E34" si="0">x_age+D3</f>
        <v>40</v>
      </c>
      <c r="F3" s="3">
        <v>8.5999999999999998E-4</v>
      </c>
      <c r="G3" s="3">
        <v>1.47E-4</v>
      </c>
      <c r="H3" s="3">
        <v>2.5699999999999998E-3</v>
      </c>
      <c r="I3" s="3">
        <f t="shared" ref="I3:I34" si="1">v_disc^(D3)</f>
        <v>1</v>
      </c>
      <c r="J3" s="3">
        <f t="shared" ref="J3:J34" si="2">v_disc^(D3+0.5)</f>
        <v>0.9877295966495897</v>
      </c>
      <c r="K3" s="2">
        <f t="shared" ref="K3:K34" si="3">MIN(1,((F3+G3)-((F3*G3)/2)))</f>
        <v>1.00693679E-3</v>
      </c>
      <c r="L3" s="2">
        <v>100000</v>
      </c>
      <c r="M3" s="2">
        <f t="shared" ref="M3:M34" si="4">(1-((1-G3)*(1-H3)))</f>
        <v>2.7166222100000192E-3</v>
      </c>
      <c r="N3" s="2">
        <f t="shared" ref="N3:N34" si="5">MIN(1,((F3+M3)-((F3*M3)/2)))</f>
        <v>3.5754540624497195E-3</v>
      </c>
      <c r="O3" s="2">
        <v>100000</v>
      </c>
      <c r="P3" s="2">
        <f t="shared" ref="P3:P34" si="6">(L3*K3)</f>
        <v>100.693679</v>
      </c>
      <c r="Q3" s="2">
        <f t="shared" ref="Q3:Q34" si="7">(L3*I3)</f>
        <v>100000</v>
      </c>
      <c r="R3" s="2">
        <f t="shared" ref="R3:R34" si="8">(O3*I3)</f>
        <v>100000</v>
      </c>
      <c r="S3" s="2">
        <f>SUM(Q3:Q74)</f>
        <v>2600472.7526278114</v>
      </c>
      <c r="T3" s="2">
        <f>SUM(R3:R74)</f>
        <v>2300628.8044605237</v>
      </c>
      <c r="U3" s="2">
        <f>1</f>
        <v>1</v>
      </c>
      <c r="V3" s="2">
        <f t="shared" ref="V3:V34" si="9">((L3*K3)*J3)</f>
        <v>99.458126943833264</v>
      </c>
      <c r="W3" s="2">
        <f>SUMPRODUCT(U3:U73,V3:V73)</f>
        <v>37028.186080300198</v>
      </c>
      <c r="X3" s="2">
        <f>IF(Q3=0,0,((W3+(betaPrime*(S23-S74)))-(($BB$18*(T3-T23))*(D3&lt;=$BB$4)))/Q3)</f>
        <v>0</v>
      </c>
      <c r="Y3" s="4">
        <f t="shared" ref="Y3:Y34" si="10">ROUND((X3*100000),0)</f>
        <v>0</v>
      </c>
      <c r="Z3" s="2">
        <f t="shared" ref="Z3:Z34" si="11">(($BB$19*MAX((MIN($BB$4,7)-D3),0))/MIN($BB$4,7))</f>
        <v>2.9630000000000007E-2</v>
      </c>
      <c r="AA3" s="2">
        <f t="shared" ref="AA3:AA34" si="12">MAX((X3-Z3),0)</f>
        <v>0</v>
      </c>
      <c r="AB3" s="2">
        <f t="shared" ref="AB3:AB34" si="13">AA3</f>
        <v>0</v>
      </c>
      <c r="AC3" s="2">
        <f t="shared" ref="AC3:AC34" si="14">((MIN(D3,$BB$4)*k_freq)*$BB$14)</f>
        <v>0</v>
      </c>
      <c r="AD3" s="2">
        <f t="shared" ref="AD3:AD34" si="15">IF(AC3=0,0,AB3/AC3)</f>
        <v>0</v>
      </c>
      <c r="AF3" s="2">
        <f t="shared" ref="AF3:AF34" si="16">MIN(1,((F3+H3)-((F3*H3)/2)))</f>
        <v>3.4288948999999999E-3</v>
      </c>
      <c r="AG3" s="2">
        <v>100000</v>
      </c>
      <c r="AH3" s="2">
        <f t="shared" ref="AH3:AH34" si="17">(1-((1-G3)*(1-H3)))</f>
        <v>2.7166222100000192E-3</v>
      </c>
      <c r="AI3" s="2">
        <f t="shared" ref="AI3:AI34" si="18">MIN(1,((F3+AH3)-((F3*AH3)/2)))</f>
        <v>3.5754540624497195E-3</v>
      </c>
      <c r="AJ3" s="2">
        <v>100000</v>
      </c>
      <c r="AK3" s="2">
        <f t="shared" ref="AK3:AK34" si="19">(AG3*H3)</f>
        <v>257</v>
      </c>
      <c r="AL3" s="2">
        <f t="shared" ref="AL3:AL34" si="20">(AG3*I3)</f>
        <v>100000</v>
      </c>
      <c r="AM3" s="2">
        <f t="shared" ref="AM3:AM34" si="21">(AJ3*I3)</f>
        <v>100000</v>
      </c>
      <c r="AN3" s="2">
        <f>SUM(AL3:AL63)</f>
        <v>2314905.7251933799</v>
      </c>
      <c r="AO3" s="2">
        <f>SUM(AM3:AM63)</f>
        <v>2300476.2188908095</v>
      </c>
      <c r="AP3" s="2">
        <f t="shared" ref="AP3:AP34" si="22">(1*IF((D3=0),(1-(3/12)),1))</f>
        <v>0.75</v>
      </c>
      <c r="AQ3" s="2">
        <f t="shared" ref="AQ3:AQ34" si="23">((AG3*H3)*J3)</f>
        <v>253.84650633894455</v>
      </c>
      <c r="AR3" s="2">
        <f>SUMPRODUCT(AP3:AP62,AQ3:AQ62)</f>
        <v>21787.536743751647</v>
      </c>
      <c r="AS3" s="2">
        <f>IF(AL3=0,0,((AR3+(betaPrime*(AN23-AN63)))-(($BC$18*(AO3-AO23))*(D3&lt;=$BC$4)))/AL3)</f>
        <v>0</v>
      </c>
      <c r="AT3" s="4">
        <f t="shared" ref="AT3:AT34" si="24">ROUND((AS3*100000),0)</f>
        <v>0</v>
      </c>
      <c r="AU3" s="2">
        <f t="shared" ref="AU3:AU34" si="25">(($BC$19*MAX((MIN($BC$4,7)-D3),0))/MIN($BC$4,7))</f>
        <v>2.247E-2</v>
      </c>
      <c r="AV3" s="2">
        <f t="shared" ref="AV3:AV34" si="26">MAX((AS3-AU3),0)</f>
        <v>0</v>
      </c>
      <c r="AW3" s="2">
        <f t="shared" ref="AW3:AW34" si="27">AV3</f>
        <v>0</v>
      </c>
      <c r="AX3" s="2">
        <f t="shared" ref="AX3:AX34" si="28">((MIN(D3,$BC$4)*k_freq)*$BC$14)</f>
        <v>0</v>
      </c>
      <c r="AY3" s="2">
        <f t="shared" ref="AY3:AY34" si="29">IF(AX3=0,0,AW3/AX3)</f>
        <v>0</v>
      </c>
      <c r="BA3" t="s">
        <v>39</v>
      </c>
      <c r="BB3" s="1">
        <v>71</v>
      </c>
      <c r="BC3" s="1">
        <v>60</v>
      </c>
    </row>
    <row r="4" spans="1:56" x14ac:dyDescent="0.45">
      <c r="A4" t="s">
        <v>40</v>
      </c>
      <c r="B4" s="4">
        <v>100000000</v>
      </c>
      <c r="D4" s="1">
        <v>1</v>
      </c>
      <c r="E4" s="1">
        <f t="shared" si="0"/>
        <v>41</v>
      </c>
      <c r="F4" s="3">
        <v>9.3999999999999997E-4</v>
      </c>
      <c r="G4" s="3">
        <v>1.5899999999999999E-4</v>
      </c>
      <c r="H4" s="3">
        <v>2.702E-3</v>
      </c>
      <c r="I4" s="3">
        <f t="shared" si="1"/>
        <v>0.97560975609756106</v>
      </c>
      <c r="J4" s="3">
        <f t="shared" si="2"/>
        <v>0.96363863087764856</v>
      </c>
      <c r="K4" s="2">
        <f t="shared" si="3"/>
        <v>1.09892527E-3</v>
      </c>
      <c r="L4" s="2">
        <f t="shared" ref="L4:L35" si="30">(L3*(1-K3))</f>
        <v>99899.306320999996</v>
      </c>
      <c r="M4" s="2">
        <f t="shared" si="4"/>
        <v>2.8605703820000494E-3</v>
      </c>
      <c r="N4" s="2">
        <f t="shared" si="5"/>
        <v>3.7992259139205094E-3</v>
      </c>
      <c r="O4" s="2">
        <f t="shared" ref="O4:O35" si="31">(O3*(1-N3))</f>
        <v>99642.454593755028</v>
      </c>
      <c r="P4" s="2">
        <f t="shared" si="6"/>
        <v>109.78187217161762</v>
      </c>
      <c r="Q4" s="2">
        <f t="shared" si="7"/>
        <v>97462.737874146347</v>
      </c>
      <c r="R4" s="2">
        <f t="shared" si="8"/>
        <v>97212.150823175645</v>
      </c>
      <c r="S4" s="2">
        <f>SUM(Q4:Q74)</f>
        <v>2500472.7526278119</v>
      </c>
      <c r="T4" s="2">
        <f>SUM(R4:R74)</f>
        <v>2200628.8044605237</v>
      </c>
      <c r="U4" s="2">
        <f>1</f>
        <v>1</v>
      </c>
      <c r="V4" s="2">
        <f t="shared" si="9"/>
        <v>105.79005299464264</v>
      </c>
      <c r="W4" s="2">
        <f>SUMPRODUCT(U4:U73,V4:V73)</f>
        <v>36928.727953356363</v>
      </c>
      <c r="X4" s="2">
        <f>IF(Q4=0,0,((W4+(betaPrime*(S23-S74)))-(($BB$18*(T4-T23))*(D4&lt;=$BB$4)))/Q4)</f>
        <v>2.4577782082855083E-2</v>
      </c>
      <c r="Y4" s="4">
        <f t="shared" si="10"/>
        <v>2458</v>
      </c>
      <c r="Z4" s="2">
        <f t="shared" si="11"/>
        <v>2.5397142857142861E-2</v>
      </c>
      <c r="AA4" s="2">
        <f t="shared" si="12"/>
        <v>0</v>
      </c>
      <c r="AB4" s="2">
        <f t="shared" si="13"/>
        <v>0</v>
      </c>
      <c r="AC4" s="2">
        <f t="shared" si="14"/>
        <v>3.1277556351273661E-2</v>
      </c>
      <c r="AD4" s="2">
        <f t="shared" si="15"/>
        <v>0</v>
      </c>
      <c r="AF4" s="2">
        <f t="shared" si="16"/>
        <v>3.6407300599999998E-3</v>
      </c>
      <c r="AG4" s="2">
        <f t="shared" ref="AG4:AG35" si="32">(AG3*(1-AF3))</f>
        <v>99657.110509999999</v>
      </c>
      <c r="AH4" s="2">
        <f t="shared" si="17"/>
        <v>2.8605703820000494E-3</v>
      </c>
      <c r="AI4" s="2">
        <f t="shared" si="18"/>
        <v>3.7992259139205094E-3</v>
      </c>
      <c r="AJ4" s="2">
        <f t="shared" ref="AJ4:AJ35" si="33">(AJ3*(1-AI3))</f>
        <v>99642.454593755028</v>
      </c>
      <c r="AK4" s="2">
        <f t="shared" si="19"/>
        <v>269.27351259801998</v>
      </c>
      <c r="AL4" s="2">
        <f t="shared" si="20"/>
        <v>97226.449278048793</v>
      </c>
      <c r="AM4" s="2">
        <f t="shared" si="21"/>
        <v>97212.150823175645</v>
      </c>
      <c r="AN4" s="2">
        <f>SUM(AL4:AL63)</f>
        <v>2214905.7251933804</v>
      </c>
      <c r="AO4" s="2">
        <f>SUM(AM4:AM63)</f>
        <v>2200476.2188908095</v>
      </c>
      <c r="AP4" s="2">
        <f t="shared" si="22"/>
        <v>1</v>
      </c>
      <c r="AQ4" s="2">
        <f t="shared" si="23"/>
        <v>259.48235901157125</v>
      </c>
      <c r="AR4" s="2">
        <f>SUMPRODUCT(AP4:AP62,AQ4:AQ62)</f>
        <v>21597.151863997438</v>
      </c>
      <c r="AS4" s="2">
        <f>IF(AL4=0,0,((AR4+(betaPrime*(AN23-AN63)))-(($BC$18*(AO4-AO23))*(D4&lt;=$BC$4)))/AL4)</f>
        <v>1.3262117819033244E-2</v>
      </c>
      <c r="AT4" s="4">
        <f t="shared" si="24"/>
        <v>1326</v>
      </c>
      <c r="AU4" s="2">
        <f t="shared" si="25"/>
        <v>1.9259999999999999E-2</v>
      </c>
      <c r="AV4" s="2">
        <f t="shared" si="26"/>
        <v>0</v>
      </c>
      <c r="AW4" s="2">
        <f t="shared" si="27"/>
        <v>0</v>
      </c>
      <c r="AX4" s="2">
        <f t="shared" si="28"/>
        <v>1.9490935387259638E-2</v>
      </c>
      <c r="AY4" s="2">
        <f t="shared" si="29"/>
        <v>0</v>
      </c>
      <c r="BA4" t="s">
        <v>41</v>
      </c>
      <c r="BB4" s="1">
        <v>20</v>
      </c>
      <c r="BC4" s="1">
        <v>20</v>
      </c>
    </row>
    <row r="5" spans="1:56" x14ac:dyDescent="0.45">
      <c r="A5" t="s">
        <v>42</v>
      </c>
      <c r="B5" s="4">
        <v>12</v>
      </c>
      <c r="D5" s="1">
        <v>2</v>
      </c>
      <c r="E5" s="1">
        <f t="shared" si="0"/>
        <v>42</v>
      </c>
      <c r="F5" s="3">
        <v>1.0499999999999999E-3</v>
      </c>
      <c r="G5" s="3">
        <v>1.7100000000000001E-4</v>
      </c>
      <c r="H5" s="3">
        <v>2.8219999999999999E-3</v>
      </c>
      <c r="I5" s="3">
        <f t="shared" si="1"/>
        <v>0.95181439619274255</v>
      </c>
      <c r="J5" s="3">
        <f t="shared" si="2"/>
        <v>0.94013524963673034</v>
      </c>
      <c r="K5" s="2">
        <f t="shared" si="3"/>
        <v>1.2209102249999999E-3</v>
      </c>
      <c r="L5" s="2">
        <f t="shared" si="30"/>
        <v>99789.524448828379</v>
      </c>
      <c r="M5" s="2">
        <f t="shared" si="4"/>
        <v>2.9925174379999975E-3</v>
      </c>
      <c r="N5" s="2">
        <f t="shared" si="5"/>
        <v>4.0409463663450473E-3</v>
      </c>
      <c r="O5" s="2">
        <f t="shared" si="31"/>
        <v>99263.890398135787</v>
      </c>
      <c r="P5" s="2">
        <f t="shared" si="6"/>
        <v>121.83405074746204</v>
      </c>
      <c r="Q5" s="2">
        <f t="shared" si="7"/>
        <v>94981.10595962251</v>
      </c>
      <c r="R5" s="2">
        <f t="shared" si="8"/>
        <v>94480.799903044186</v>
      </c>
      <c r="S5" s="2">
        <f>SUM(Q5:Q74)</f>
        <v>2403010.0147536653</v>
      </c>
      <c r="T5" s="2">
        <f>SUM(R5:R74)</f>
        <v>2103416.6536373473</v>
      </c>
      <c r="U5" s="2">
        <f>1</f>
        <v>1</v>
      </c>
      <c r="V5" s="2">
        <f t="shared" si="9"/>
        <v>114.54048571371931</v>
      </c>
      <c r="W5" s="2">
        <f>SUMPRODUCT(U5:U73,V5:V73)</f>
        <v>36822.937900361721</v>
      </c>
      <c r="X5" s="2">
        <f>IF(Q5=0,0,((W5+(betaPrime*(S23-S74)))-(($BB$18*(T5-T23))*(D5&lt;=$BB$4)))/Q5)</f>
        <v>4.9640931319553917E-2</v>
      </c>
      <c r="Y5" s="4">
        <f t="shared" si="10"/>
        <v>4964</v>
      </c>
      <c r="Z5" s="2">
        <f t="shared" si="11"/>
        <v>2.1164285714285715E-2</v>
      </c>
      <c r="AA5" s="2">
        <f t="shared" si="12"/>
        <v>2.8476645605268202E-2</v>
      </c>
      <c r="AB5" s="2">
        <f t="shared" si="13"/>
        <v>2.8476645605268202E-2</v>
      </c>
      <c r="AC5" s="2">
        <f t="shared" si="14"/>
        <v>6.2555112702547322E-2</v>
      </c>
      <c r="AD5" s="2">
        <f t="shared" si="15"/>
        <v>0.45522491088260159</v>
      </c>
      <c r="AF5" s="2">
        <f t="shared" si="16"/>
        <v>3.8705184499999994E-3</v>
      </c>
      <c r="AG5" s="2">
        <f t="shared" si="32"/>
        <v>99294.285872073495</v>
      </c>
      <c r="AH5" s="2">
        <f t="shared" si="17"/>
        <v>2.9925174379999975E-3</v>
      </c>
      <c r="AI5" s="2">
        <f t="shared" si="18"/>
        <v>4.0409463663450473E-3</v>
      </c>
      <c r="AJ5" s="2">
        <f t="shared" si="33"/>
        <v>99263.890398135787</v>
      </c>
      <c r="AK5" s="2">
        <f t="shared" si="19"/>
        <v>280.20847473099138</v>
      </c>
      <c r="AL5" s="2">
        <f t="shared" si="20"/>
        <v>94509.730752717194</v>
      </c>
      <c r="AM5" s="2">
        <f t="shared" si="21"/>
        <v>94480.799903044186</v>
      </c>
      <c r="AN5" s="2">
        <f>SUM(AL5:AL63)</f>
        <v>2117679.2759153307</v>
      </c>
      <c r="AO5" s="2">
        <f>SUM(AM5:AM63)</f>
        <v>2103264.0680676331</v>
      </c>
      <c r="AP5" s="2">
        <f t="shared" si="22"/>
        <v>1</v>
      </c>
      <c r="AQ5" s="2">
        <f t="shared" si="23"/>
        <v>263.43386434154803</v>
      </c>
      <c r="AR5" s="2">
        <f>SUMPRODUCT(AP5:AP62,AQ5:AQ62)</f>
        <v>21337.669504985868</v>
      </c>
      <c r="AS5" s="2">
        <f>IF(AL5=0,0,((AR5+(betaPrime*(AN23-AN63)))-(($BC$18*(AO5-AO23))*(D5&lt;=$BC$4)))/AL5)</f>
        <v>2.6119054444049876E-2</v>
      </c>
      <c r="AT5" s="4">
        <f t="shared" si="24"/>
        <v>2612</v>
      </c>
      <c r="AU5" s="2">
        <f t="shared" si="25"/>
        <v>1.6050000000000002E-2</v>
      </c>
      <c r="AV5" s="2">
        <f t="shared" si="26"/>
        <v>1.0069054444049874E-2</v>
      </c>
      <c r="AW5" s="2">
        <f t="shared" si="27"/>
        <v>1.0069054444049874E-2</v>
      </c>
      <c r="AX5" s="2">
        <f t="shared" si="28"/>
        <v>3.8981870774519277E-2</v>
      </c>
      <c r="AY5" s="2">
        <f t="shared" si="29"/>
        <v>0.25830095487955823</v>
      </c>
      <c r="BA5" t="s">
        <v>43</v>
      </c>
      <c r="BB5" s="2">
        <v>1</v>
      </c>
      <c r="BC5" s="2">
        <v>0.5</v>
      </c>
    </row>
    <row r="6" spans="1:56" x14ac:dyDescent="0.45">
      <c r="A6" t="s">
        <v>44</v>
      </c>
      <c r="B6" s="3">
        <v>2.5000000000000001E-2</v>
      </c>
      <c r="D6" s="1">
        <v>3</v>
      </c>
      <c r="E6" s="1">
        <f t="shared" si="0"/>
        <v>43</v>
      </c>
      <c r="F6" s="3">
        <v>1.1800000000000001E-3</v>
      </c>
      <c r="G6" s="3">
        <v>1.8599999999999999E-4</v>
      </c>
      <c r="H6" s="3">
        <v>2.9229999999999998E-3</v>
      </c>
      <c r="I6" s="3">
        <f t="shared" si="1"/>
        <v>0.92859941091974896</v>
      </c>
      <c r="J6" s="3">
        <f t="shared" si="2"/>
        <v>0.91720512159681022</v>
      </c>
      <c r="K6" s="2">
        <f t="shared" si="3"/>
        <v>1.3658902600000001E-3</v>
      </c>
      <c r="L6" s="2">
        <f t="shared" si="30"/>
        <v>99667.690398080915</v>
      </c>
      <c r="M6" s="2">
        <f t="shared" si="4"/>
        <v>3.1084563220000749E-3</v>
      </c>
      <c r="N6" s="2">
        <f t="shared" si="5"/>
        <v>4.2866223327700957E-3</v>
      </c>
      <c r="O6" s="2">
        <f t="shared" si="31"/>
        <v>98862.770340922172</v>
      </c>
      <c r="P6" s="2">
        <f t="shared" si="6"/>
        <v>136.13512755143424</v>
      </c>
      <c r="Q6" s="2">
        <f t="shared" si="7"/>
        <v>92551.358591389857</v>
      </c>
      <c r="R6" s="2">
        <f t="shared" si="8"/>
        <v>91803.910300474759</v>
      </c>
      <c r="S6" s="2">
        <f>SUM(Q6:Q74)</f>
        <v>2308028.9087940431</v>
      </c>
      <c r="T6" s="2">
        <f>SUM(R6:R74)</f>
        <v>2008935.8537343035</v>
      </c>
      <c r="U6" s="2">
        <f>1</f>
        <v>1</v>
      </c>
      <c r="V6" s="2">
        <f t="shared" si="9"/>
        <v>124.86383621941052</v>
      </c>
      <c r="W6" s="2">
        <f>SUMPRODUCT(U6:U73,V6:V73)</f>
        <v>36708.397414647996</v>
      </c>
      <c r="X6" s="2">
        <f>IF(Q6=0,0,((W6+(betaPrime*(S23-S74)))-(($BB$18*(T6-T23))*(D6&lt;=$BB$4)))/Q6)</f>
        <v>7.517543810796487E-2</v>
      </c>
      <c r="Y6" s="4">
        <f t="shared" si="10"/>
        <v>7518</v>
      </c>
      <c r="Z6" s="2">
        <f t="shared" si="11"/>
        <v>1.6931428571428573E-2</v>
      </c>
      <c r="AA6" s="2">
        <f t="shared" si="12"/>
        <v>5.8244009536536301E-2</v>
      </c>
      <c r="AB6" s="2">
        <f t="shared" si="13"/>
        <v>5.8244009536536301E-2</v>
      </c>
      <c r="AC6" s="2">
        <f t="shared" si="14"/>
        <v>9.3832669053820997E-2</v>
      </c>
      <c r="AD6" s="2">
        <f t="shared" si="15"/>
        <v>0.62072208031435638</v>
      </c>
      <c r="AF6" s="2">
        <f t="shared" si="16"/>
        <v>4.1012754299999997E-3</v>
      </c>
      <c r="AG6" s="2">
        <f t="shared" si="32"/>
        <v>98909.96550662606</v>
      </c>
      <c r="AH6" s="2">
        <f t="shared" si="17"/>
        <v>3.1084563220000749E-3</v>
      </c>
      <c r="AI6" s="2">
        <f t="shared" si="18"/>
        <v>4.2866223327700957E-3</v>
      </c>
      <c r="AJ6" s="2">
        <f t="shared" si="33"/>
        <v>98862.770340922172</v>
      </c>
      <c r="AK6" s="2">
        <f t="shared" si="19"/>
        <v>289.11382917586798</v>
      </c>
      <c r="AL6" s="2">
        <f t="shared" si="20"/>
        <v>91847.735703545652</v>
      </c>
      <c r="AM6" s="2">
        <f t="shared" si="21"/>
        <v>91803.910300474759</v>
      </c>
      <c r="AN6" s="2">
        <f>SUM(AL6:AL63)</f>
        <v>2023169.5451626142</v>
      </c>
      <c r="AO6" s="2">
        <f>SUM(AM6:AM63)</f>
        <v>2008783.2681645888</v>
      </c>
      <c r="AP6" s="2">
        <f t="shared" si="22"/>
        <v>1</v>
      </c>
      <c r="AQ6" s="2">
        <f t="shared" si="23"/>
        <v>265.17668484457141</v>
      </c>
      <c r="AR6" s="2">
        <f>SUMPRODUCT(AP6:AP62,AQ6:AQ62)</f>
        <v>21074.235640644321</v>
      </c>
      <c r="AS6" s="2">
        <f>IF(AL6=0,0,((AR6+(betaPrime*(AN23-AN63)))-(($BC$18*(AO6-AO23))*(D6&lt;=$BC$4)))/AL6)</f>
        <v>3.9230260254896288E-2</v>
      </c>
      <c r="AT6" s="4">
        <f t="shared" si="24"/>
        <v>3923</v>
      </c>
      <c r="AU6" s="2">
        <f t="shared" si="25"/>
        <v>1.2840000000000001E-2</v>
      </c>
      <c r="AV6" s="2">
        <f t="shared" si="26"/>
        <v>2.6390260254896287E-2</v>
      </c>
      <c r="AW6" s="2">
        <f t="shared" si="27"/>
        <v>2.6390260254896287E-2</v>
      </c>
      <c r="AX6" s="2">
        <f t="shared" si="28"/>
        <v>5.8472806161778919E-2</v>
      </c>
      <c r="AY6" s="2">
        <f t="shared" si="29"/>
        <v>0.45132535937956114</v>
      </c>
      <c r="BA6" t="s">
        <v>45</v>
      </c>
      <c r="BB6" s="4">
        <f>sum_assured*$BB$5</f>
        <v>100000000</v>
      </c>
      <c r="BC6" s="4">
        <f>sum_assured*$BC$5</f>
        <v>50000000</v>
      </c>
    </row>
    <row r="7" spans="1:56" x14ac:dyDescent="0.45">
      <c r="A7" t="s">
        <v>46</v>
      </c>
      <c r="B7" s="3">
        <f>1/(1+i_rate)</f>
        <v>0.97560975609756106</v>
      </c>
      <c r="D7" s="1">
        <v>4</v>
      </c>
      <c r="E7" s="1">
        <f t="shared" si="0"/>
        <v>44</v>
      </c>
      <c r="F7" s="3">
        <v>1.34E-3</v>
      </c>
      <c r="G7" s="3">
        <v>2.04E-4</v>
      </c>
      <c r="H7" s="3">
        <v>3.0079999999999998E-3</v>
      </c>
      <c r="I7" s="3">
        <f t="shared" si="1"/>
        <v>0.90595064479975507</v>
      </c>
      <c r="J7" s="3">
        <f t="shared" si="2"/>
        <v>0.89483426497249785</v>
      </c>
      <c r="K7" s="2">
        <f t="shared" si="3"/>
        <v>1.5438633199999999E-3</v>
      </c>
      <c r="L7" s="2">
        <f t="shared" si="30"/>
        <v>99531.555270529483</v>
      </c>
      <c r="M7" s="2">
        <f t="shared" si="4"/>
        <v>3.2113863680000021E-3</v>
      </c>
      <c r="N7" s="2">
        <f t="shared" si="5"/>
        <v>4.549234739133442E-3</v>
      </c>
      <c r="O7" s="2">
        <f t="shared" si="31"/>
        <v>98438.982981699257</v>
      </c>
      <c r="P7" s="2">
        <f t="shared" si="6"/>
        <v>153.66311736472315</v>
      </c>
      <c r="Q7" s="2">
        <f t="shared" si="7"/>
        <v>90170.676675258641</v>
      </c>
      <c r="R7" s="2">
        <f t="shared" si="8"/>
        <v>89180.860105702552</v>
      </c>
      <c r="S7" s="2">
        <f>SUM(Q7:Q74)</f>
        <v>2215477.5502026533</v>
      </c>
      <c r="T7" s="2">
        <f>SUM(R7:R74)</f>
        <v>1917131.9434338284</v>
      </c>
      <c r="U7" s="2">
        <f>1</f>
        <v>1</v>
      </c>
      <c r="V7" s="2">
        <f t="shared" si="9"/>
        <v>137.5030226804447</v>
      </c>
      <c r="W7" s="2">
        <f>SUMPRODUCT(U7:U73,V7:V73)</f>
        <v>36583.533578428585</v>
      </c>
      <c r="X7" s="2">
        <f>IF(Q7=0,0,((W7+(betaPrime*(S23-S74)))-(($BB$18*(T7-T23))*(D7&lt;=$BB$4)))/Q7)</f>
        <v>0.10117611633443681</v>
      </c>
      <c r="Y7" s="4">
        <f t="shared" si="10"/>
        <v>10118</v>
      </c>
      <c r="Z7" s="2">
        <f t="shared" si="11"/>
        <v>1.2698571428571431E-2</v>
      </c>
      <c r="AA7" s="2">
        <f t="shared" si="12"/>
        <v>8.8477544905865374E-2</v>
      </c>
      <c r="AB7" s="2">
        <f t="shared" si="13"/>
        <v>8.8477544905865374E-2</v>
      </c>
      <c r="AC7" s="2">
        <f t="shared" si="14"/>
        <v>0.12511022540509464</v>
      </c>
      <c r="AD7" s="2">
        <f t="shared" si="15"/>
        <v>0.70719675086016154</v>
      </c>
      <c r="AF7" s="2">
        <f t="shared" si="16"/>
        <v>4.3459846399999998E-3</v>
      </c>
      <c r="AG7" s="2">
        <f t="shared" si="32"/>
        <v>98504.308495311576</v>
      </c>
      <c r="AH7" s="2">
        <f t="shared" si="17"/>
        <v>3.2113863680000021E-3</v>
      </c>
      <c r="AI7" s="2">
        <f t="shared" si="18"/>
        <v>4.549234739133442E-3</v>
      </c>
      <c r="AJ7" s="2">
        <f t="shared" si="33"/>
        <v>98438.982981699257</v>
      </c>
      <c r="AK7" s="2">
        <f t="shared" si="19"/>
        <v>296.30095995389718</v>
      </c>
      <c r="AL7" s="2">
        <f t="shared" si="20"/>
        <v>89240.041796881516</v>
      </c>
      <c r="AM7" s="2">
        <f t="shared" si="21"/>
        <v>89180.860105702552</v>
      </c>
      <c r="AN7" s="2">
        <f>SUM(AL7:AL63)</f>
        <v>1931321.8094590686</v>
      </c>
      <c r="AO7" s="2">
        <f>SUM(AM7:AM63)</f>
        <v>1916979.3578641138</v>
      </c>
      <c r="AP7" s="2">
        <f t="shared" si="22"/>
        <v>1</v>
      </c>
      <c r="AQ7" s="2">
        <f t="shared" si="23"/>
        <v>265.14025171099109</v>
      </c>
      <c r="AR7" s="2">
        <f>SUMPRODUCT(AP7:AP62,AQ7:AQ62)</f>
        <v>20809.058955799748</v>
      </c>
      <c r="AS7" s="2">
        <f>IF(AL7=0,0,((AR7+(betaPrime*(AN23-AN63)))-(($BC$18*(AO7-AO23))*(D7&lt;=$BC$4)))/AL7)</f>
        <v>5.2628399303665079E-2</v>
      </c>
      <c r="AT7" s="4">
        <f t="shared" si="24"/>
        <v>5263</v>
      </c>
      <c r="AU7" s="2">
        <f t="shared" si="25"/>
        <v>9.6299999999999997E-3</v>
      </c>
      <c r="AV7" s="2">
        <f t="shared" si="26"/>
        <v>4.2998399303665079E-2</v>
      </c>
      <c r="AW7" s="2">
        <f t="shared" si="27"/>
        <v>4.2998399303665079E-2</v>
      </c>
      <c r="AX7" s="2">
        <f t="shared" si="28"/>
        <v>7.7963741549038554E-2</v>
      </c>
      <c r="AY7" s="2">
        <f t="shared" si="29"/>
        <v>0.55151790369911169</v>
      </c>
      <c r="BA7" t="s">
        <v>47</v>
      </c>
      <c r="BB7" s="3">
        <v>1</v>
      </c>
      <c r="BC7" s="3">
        <v>1</v>
      </c>
    </row>
    <row r="8" spans="1:56" x14ac:dyDescent="0.45">
      <c r="A8" t="s">
        <v>48</v>
      </c>
      <c r="B8" s="3">
        <v>3.2500000000000001E-2</v>
      </c>
      <c r="D8" s="1">
        <v>5</v>
      </c>
      <c r="E8" s="1">
        <f t="shared" si="0"/>
        <v>45</v>
      </c>
      <c r="F8" s="3">
        <v>1.5200000000000001E-3</v>
      </c>
      <c r="G8" s="3">
        <v>2.2900000000000001E-4</v>
      </c>
      <c r="H8" s="3">
        <v>3.091E-3</v>
      </c>
      <c r="I8" s="3">
        <f t="shared" si="1"/>
        <v>0.88385428760951723</v>
      </c>
      <c r="J8" s="3">
        <f t="shared" si="2"/>
        <v>0.87300903899755888</v>
      </c>
      <c r="K8" s="2">
        <f t="shared" si="3"/>
        <v>1.7488259600000001E-3</v>
      </c>
      <c r="L8" s="2">
        <f t="shared" si="30"/>
        <v>99377.892153164765</v>
      </c>
      <c r="M8" s="2">
        <f t="shared" si="4"/>
        <v>3.3192921610000203E-3</v>
      </c>
      <c r="N8" s="2">
        <f t="shared" si="5"/>
        <v>4.8367694989576611E-3</v>
      </c>
      <c r="O8" s="2">
        <f t="shared" si="31"/>
        <v>97991.160940633941</v>
      </c>
      <c r="P8" s="2">
        <f t="shared" si="6"/>
        <v>173.79463764753484</v>
      </c>
      <c r="Q8" s="2">
        <f t="shared" si="7"/>
        <v>87835.576073170872</v>
      </c>
      <c r="R8" s="2">
        <f t="shared" si="8"/>
        <v>86609.907745213568</v>
      </c>
      <c r="S8" s="2">
        <f>SUM(Q8:Q74)</f>
        <v>2125306.8735273946</v>
      </c>
      <c r="T8" s="2">
        <f>SUM(R8:R74)</f>
        <v>1827951.083328126</v>
      </c>
      <c r="U8" s="2">
        <f>1</f>
        <v>1</v>
      </c>
      <c r="V8" s="2">
        <f t="shared" si="9"/>
        <v>151.72428959560335</v>
      </c>
      <c r="W8" s="2">
        <f>SUMPRODUCT(U8:U73,V8:V73)</f>
        <v>36446.030555748141</v>
      </c>
      <c r="X8" s="2">
        <f>IF(Q8=0,0,((W8+(betaPrime*(S23-S74)))-(($BB$18*(T8-T23))*(D8&lt;=$BB$4)))/Q8)</f>
        <v>0.12763128882727065</v>
      </c>
      <c r="Y8" s="4">
        <f t="shared" si="10"/>
        <v>12763</v>
      </c>
      <c r="Z8" s="2">
        <f t="shared" si="11"/>
        <v>8.4657142857142865E-3</v>
      </c>
      <c r="AA8" s="2">
        <f t="shared" si="12"/>
        <v>0.11916557454155637</v>
      </c>
      <c r="AB8" s="2">
        <f t="shared" si="13"/>
        <v>0.11916557454155637</v>
      </c>
      <c r="AC8" s="2">
        <f t="shared" si="14"/>
        <v>0.15638778175636833</v>
      </c>
      <c r="AD8" s="2">
        <f t="shared" si="15"/>
        <v>0.76198775379524675</v>
      </c>
      <c r="AF8" s="2">
        <f t="shared" si="16"/>
        <v>4.6086508400000007E-3</v>
      </c>
      <c r="AG8" s="2">
        <f t="shared" si="32"/>
        <v>98076.210283617125</v>
      </c>
      <c r="AH8" s="2">
        <f t="shared" si="17"/>
        <v>3.3192921610000203E-3</v>
      </c>
      <c r="AI8" s="2">
        <f t="shared" si="18"/>
        <v>4.8367694989576611E-3</v>
      </c>
      <c r="AJ8" s="2">
        <f t="shared" si="33"/>
        <v>97991.160940633941</v>
      </c>
      <c r="AK8" s="2">
        <f t="shared" si="19"/>
        <v>303.15356598666051</v>
      </c>
      <c r="AL8" s="2">
        <f t="shared" si="20"/>
        <v>86685.078971667623</v>
      </c>
      <c r="AM8" s="2">
        <f t="shared" si="21"/>
        <v>86609.907745213568</v>
      </c>
      <c r="AN8" s="2">
        <f>SUM(AL8:AL63)</f>
        <v>1842081.7676621873</v>
      </c>
      <c r="AO8" s="2">
        <f>SUM(AM8:AM63)</f>
        <v>1827798.4977584113</v>
      </c>
      <c r="AP8" s="2">
        <f t="shared" si="22"/>
        <v>1</v>
      </c>
      <c r="AQ8" s="2">
        <f t="shared" si="23"/>
        <v>264.65580331069754</v>
      </c>
      <c r="AR8" s="2">
        <f>SUMPRODUCT(AP8:AP62,AQ8:AQ62)</f>
        <v>20543.918704088759</v>
      </c>
      <c r="AS8" s="2">
        <f>IF(AL8=0,0,((AR8+(betaPrime*(AN23-AN63)))-(($BC$18*(AO8-AO23))*(D8&lt;=$BC$4)))/AL8)</f>
        <v>6.6345105547331626E-2</v>
      </c>
      <c r="AT8" s="4">
        <f t="shared" si="24"/>
        <v>6635</v>
      </c>
      <c r="AU8" s="2">
        <f t="shared" si="25"/>
        <v>6.4200000000000004E-3</v>
      </c>
      <c r="AV8" s="2">
        <f t="shared" si="26"/>
        <v>5.9925105547331624E-2</v>
      </c>
      <c r="AW8" s="2">
        <f t="shared" si="27"/>
        <v>5.9925105547331624E-2</v>
      </c>
      <c r="AX8" s="2">
        <f t="shared" si="28"/>
        <v>9.7454676936298196E-2</v>
      </c>
      <c r="AY8" s="2">
        <f t="shared" si="29"/>
        <v>0.61490230567899795</v>
      </c>
      <c r="BA8" t="s">
        <v>49</v>
      </c>
      <c r="BB8" s="3">
        <v>2.9630000000000004E-2</v>
      </c>
      <c r="BC8" s="3">
        <v>2.247E-2</v>
      </c>
    </row>
    <row r="9" spans="1:56" x14ac:dyDescent="0.45">
      <c r="A9" t="s">
        <v>50</v>
      </c>
      <c r="B9" s="3">
        <v>0.01</v>
      </c>
      <c r="D9" s="1">
        <v>6</v>
      </c>
      <c r="E9" s="1">
        <f t="shared" si="0"/>
        <v>46</v>
      </c>
      <c r="F9" s="3">
        <v>1.6999999999999999E-3</v>
      </c>
      <c r="G9" s="3">
        <v>2.5900000000000001E-4</v>
      </c>
      <c r="H9" s="3">
        <v>3.1960000000000001E-3</v>
      </c>
      <c r="I9" s="3">
        <f t="shared" si="1"/>
        <v>0.8622968659605047</v>
      </c>
      <c r="J9" s="3">
        <f t="shared" si="2"/>
        <v>0.85171613560737458</v>
      </c>
      <c r="K9" s="2">
        <f t="shared" si="3"/>
        <v>1.95877985E-3</v>
      </c>
      <c r="L9" s="2">
        <f t="shared" si="30"/>
        <v>99204.09751551722</v>
      </c>
      <c r="M9" s="2">
        <f t="shared" si="4"/>
        <v>3.4541722359999749E-3</v>
      </c>
      <c r="N9" s="2">
        <f t="shared" si="5"/>
        <v>5.1512361895993753E-3</v>
      </c>
      <c r="O9" s="2">
        <f t="shared" si="31"/>
        <v>97517.200282228834</v>
      </c>
      <c r="P9" s="2">
        <f t="shared" si="6"/>
        <v>194.31898725083019</v>
      </c>
      <c r="Q9" s="2">
        <f t="shared" si="7"/>
        <v>85543.38237807079</v>
      </c>
      <c r="R9" s="2">
        <f t="shared" si="8"/>
        <v>84088.776180608766</v>
      </c>
      <c r="S9" s="2">
        <f>SUM(Q9:Q74)</f>
        <v>2037471.2974542235</v>
      </c>
      <c r="T9" s="2">
        <f>SUM(R9:R74)</f>
        <v>1741341.1755829123</v>
      </c>
      <c r="U9" s="2">
        <f>1</f>
        <v>1</v>
      </c>
      <c r="V9" s="2">
        <f t="shared" si="9"/>
        <v>165.50461689641577</v>
      </c>
      <c r="W9" s="2">
        <f>SUMPRODUCT(U9:U73,V9:V73)</f>
        <v>36294.30626615254</v>
      </c>
      <c r="X9" s="2">
        <f>IF(Q9=0,0,((W9+(betaPrime*(S23-S74)))-(($BB$18*(T9-T23))*(D9&lt;=$BB$4)))/Q9)</f>
        <v>0.15453741687078906</v>
      </c>
      <c r="Y9" s="4">
        <f t="shared" si="10"/>
        <v>15454</v>
      </c>
      <c r="Z9" s="2">
        <f t="shared" si="11"/>
        <v>4.2328571428571432E-3</v>
      </c>
      <c r="AA9" s="2">
        <f t="shared" si="12"/>
        <v>0.15030455972793191</v>
      </c>
      <c r="AB9" s="2">
        <f t="shared" si="13"/>
        <v>0.15030455972793191</v>
      </c>
      <c r="AC9" s="2">
        <f t="shared" si="14"/>
        <v>0.18766533810764199</v>
      </c>
      <c r="AD9" s="2">
        <f t="shared" si="15"/>
        <v>0.80091806640243546</v>
      </c>
      <c r="AF9" s="2">
        <f t="shared" si="16"/>
        <v>4.8932834000000001E-3</v>
      </c>
      <c r="AG9" s="2">
        <f t="shared" si="32"/>
        <v>97624.211274709523</v>
      </c>
      <c r="AH9" s="2">
        <f t="shared" si="17"/>
        <v>3.4541722359999749E-3</v>
      </c>
      <c r="AI9" s="2">
        <f t="shared" si="18"/>
        <v>5.1512361895993753E-3</v>
      </c>
      <c r="AJ9" s="2">
        <f t="shared" si="33"/>
        <v>97517.200282228834</v>
      </c>
      <c r="AK9" s="2">
        <f t="shared" si="19"/>
        <v>312.00697923397166</v>
      </c>
      <c r="AL9" s="2">
        <f t="shared" si="20"/>
        <v>84181.051424048186</v>
      </c>
      <c r="AM9" s="2">
        <f t="shared" si="21"/>
        <v>84088.776180608766</v>
      </c>
      <c r="AN9" s="2">
        <f>SUM(AL9:AL63)</f>
        <v>1755396.6886905192</v>
      </c>
      <c r="AO9" s="2">
        <f>SUM(AM9:AM63)</f>
        <v>1741188.5900131976</v>
      </c>
      <c r="AP9" s="2">
        <f t="shared" si="22"/>
        <v>1</v>
      </c>
      <c r="AQ9" s="2">
        <f t="shared" si="23"/>
        <v>265.7413786356887</v>
      </c>
      <c r="AR9" s="2">
        <f>SUMPRODUCT(AP9:AP62,AQ9:AQ62)</f>
        <v>20279.262900778063</v>
      </c>
      <c r="AS9" s="2">
        <f>IF(AL9=0,0,((AR9+(betaPrime*(AN23-AN63)))-(($BC$18*(AO9-AO23))*(D9&lt;=$BC$4)))/AL9)</f>
        <v>8.0399803846712095E-2</v>
      </c>
      <c r="AT9" s="4">
        <f t="shared" si="24"/>
        <v>8040</v>
      </c>
      <c r="AU9" s="2">
        <f t="shared" si="25"/>
        <v>3.2100000000000002E-3</v>
      </c>
      <c r="AV9" s="2">
        <f t="shared" si="26"/>
        <v>7.7189803846712091E-2</v>
      </c>
      <c r="AW9" s="2">
        <f t="shared" si="27"/>
        <v>7.7189803846712091E-2</v>
      </c>
      <c r="AX9" s="2">
        <f t="shared" si="28"/>
        <v>0.11694561232355784</v>
      </c>
      <c r="AY9" s="2">
        <f t="shared" si="29"/>
        <v>0.66004873815315235</v>
      </c>
      <c r="BA9" t="s">
        <v>51</v>
      </c>
      <c r="BB9" s="2">
        <f>(k_freq*((T3-T23)-(((k_freq-1)/(2*k_freq))*(R3-R23))))</f>
        <v>18044892.918851402</v>
      </c>
      <c r="BC9" s="2">
        <f>(k_freq*((AO3-AO23)-(((k_freq-1)/(2*k_freq))*(AM3-AM23))))</f>
        <v>18044892.918851402</v>
      </c>
    </row>
    <row r="10" spans="1:56" x14ac:dyDescent="0.45">
      <c r="A10" t="s">
        <v>52</v>
      </c>
      <c r="B10" s="3">
        <v>1.5E-3</v>
      </c>
      <c r="D10" s="1">
        <v>7</v>
      </c>
      <c r="E10" s="1">
        <f t="shared" si="0"/>
        <v>47</v>
      </c>
      <c r="F10" s="3">
        <v>1.8799999999999999E-3</v>
      </c>
      <c r="G10" s="3">
        <v>2.9399999999999999E-4</v>
      </c>
      <c r="H10" s="3">
        <v>3.3400000000000001E-3</v>
      </c>
      <c r="I10" s="3">
        <f t="shared" si="1"/>
        <v>0.84126523508341933</v>
      </c>
      <c r="J10" s="3">
        <f t="shared" si="2"/>
        <v>0.83094257132426808</v>
      </c>
      <c r="K10" s="2">
        <f t="shared" si="3"/>
        <v>2.1737236399999998E-3</v>
      </c>
      <c r="L10" s="2">
        <f t="shared" si="30"/>
        <v>99009.778528266383</v>
      </c>
      <c r="M10" s="2">
        <f t="shared" si="4"/>
        <v>3.6330180400000467E-3</v>
      </c>
      <c r="N10" s="2">
        <f t="shared" si="5"/>
        <v>5.5096030030424466E-3</v>
      </c>
      <c r="O10" s="2">
        <f t="shared" si="31"/>
        <v>97014.86615102661</v>
      </c>
      <c r="P10" s="2">
        <f t="shared" si="6"/>
        <v>215.21989617805704</v>
      </c>
      <c r="Q10" s="2">
        <f t="shared" si="7"/>
        <v>83293.484609139297</v>
      </c>
      <c r="R10" s="2">
        <f t="shared" si="8"/>
        <v>81615.234179129868</v>
      </c>
      <c r="S10" s="2">
        <f>SUM(Q10:Q74)</f>
        <v>1951927.9150761529</v>
      </c>
      <c r="T10" s="2">
        <f>SUM(R10:R74)</f>
        <v>1657252.3994023034</v>
      </c>
      <c r="U10" s="2">
        <f>1</f>
        <v>1</v>
      </c>
      <c r="V10" s="2">
        <f t="shared" si="9"/>
        <v>178.83537393033674</v>
      </c>
      <c r="W10" s="2">
        <f>SUMPRODUCT(U10:U73,V10:V73)</f>
        <v>36128.801649256122</v>
      </c>
      <c r="X10" s="2">
        <f>IF(Q10=0,0,((W10+(betaPrime*(S23-S74)))-(($BB$18*(T10-T23))*(D10&lt;=$BB$4)))/Q10)</f>
        <v>0.18191170105386456</v>
      </c>
      <c r="Y10" s="4">
        <f t="shared" si="10"/>
        <v>18191</v>
      </c>
      <c r="Z10" s="2">
        <f t="shared" si="11"/>
        <v>0</v>
      </c>
      <c r="AA10" s="2">
        <f t="shared" si="12"/>
        <v>0.18191170105386456</v>
      </c>
      <c r="AB10" s="2">
        <f t="shared" si="13"/>
        <v>0.18191170105386456</v>
      </c>
      <c r="AC10" s="2">
        <f t="shared" si="14"/>
        <v>0.21894289445891565</v>
      </c>
      <c r="AD10" s="2">
        <f t="shared" si="15"/>
        <v>0.83086368938088584</v>
      </c>
      <c r="AF10" s="2">
        <f t="shared" si="16"/>
        <v>5.2168603999999995E-3</v>
      </c>
      <c r="AG10" s="2">
        <f t="shared" si="32"/>
        <v>97146.508342240893</v>
      </c>
      <c r="AH10" s="2">
        <f t="shared" si="17"/>
        <v>3.6330180400000467E-3</v>
      </c>
      <c r="AI10" s="2">
        <f t="shared" si="18"/>
        <v>5.5096030030424466E-3</v>
      </c>
      <c r="AJ10" s="2">
        <f t="shared" si="33"/>
        <v>97014.86615102661</v>
      </c>
      <c r="AK10" s="2">
        <f t="shared" si="19"/>
        <v>324.4693378630846</v>
      </c>
      <c r="AL10" s="2">
        <f t="shared" si="20"/>
        <v>81725.980178068639</v>
      </c>
      <c r="AM10" s="2">
        <f t="shared" si="21"/>
        <v>81615.234179129868</v>
      </c>
      <c r="AN10" s="2">
        <f>SUM(AL10:AL63)</f>
        <v>1671215.6372664708</v>
      </c>
      <c r="AO10" s="2">
        <f>SUM(AM10:AM63)</f>
        <v>1657099.8138325887</v>
      </c>
      <c r="AP10" s="2">
        <f t="shared" si="22"/>
        <v>1</v>
      </c>
      <c r="AQ10" s="2">
        <f t="shared" si="23"/>
        <v>269.61538591983424</v>
      </c>
      <c r="AR10" s="2">
        <f>SUMPRODUCT(AP10:AP62,AQ10:AQ62)</f>
        <v>20013.521522142371</v>
      </c>
      <c r="AS10" s="2">
        <f>IF(AL10=0,0,((AR10+(betaPrime*(AN23-AN63)))-(($BC$18*(AO10-AO23))*(D10&lt;=$BC$4)))/AL10)</f>
        <v>9.4789388794992782E-2</v>
      </c>
      <c r="AT10" s="4">
        <f t="shared" si="24"/>
        <v>9479</v>
      </c>
      <c r="AU10" s="2">
        <f t="shared" si="25"/>
        <v>0</v>
      </c>
      <c r="AV10" s="2">
        <f t="shared" si="26"/>
        <v>9.4789388794992782E-2</v>
      </c>
      <c r="AW10" s="2">
        <f t="shared" si="27"/>
        <v>9.4789388794992782E-2</v>
      </c>
      <c r="AX10" s="2">
        <f t="shared" si="28"/>
        <v>0.13643654771081748</v>
      </c>
      <c r="AY10" s="2">
        <f t="shared" si="29"/>
        <v>0.69475071295341295</v>
      </c>
      <c r="BA10" t="s">
        <v>53</v>
      </c>
      <c r="BB10" s="3">
        <f>W3</f>
        <v>37028.186080300198</v>
      </c>
      <c r="BC10" s="3">
        <f>AR3</f>
        <v>21787.536743751647</v>
      </c>
    </row>
    <row r="11" spans="1:56" x14ac:dyDescent="0.45">
      <c r="A11" t="s">
        <v>54</v>
      </c>
      <c r="B11" s="3">
        <v>4.4999999999999998E-2</v>
      </c>
      <c r="D11" s="1">
        <v>8</v>
      </c>
      <c r="E11" s="1">
        <f t="shared" si="0"/>
        <v>48</v>
      </c>
      <c r="F11" s="3">
        <v>2.0600000000000002E-3</v>
      </c>
      <c r="G11" s="3">
        <v>3.2899999999999997E-4</v>
      </c>
      <c r="H11" s="3">
        <v>3.5239999999999998E-3</v>
      </c>
      <c r="I11" s="3">
        <f t="shared" si="1"/>
        <v>0.82074657081309199</v>
      </c>
      <c r="J11" s="3">
        <f t="shared" si="2"/>
        <v>0.81067567934074936</v>
      </c>
      <c r="K11" s="2">
        <f t="shared" si="3"/>
        <v>2.3886611300000002E-3</v>
      </c>
      <c r="L11" s="2">
        <f t="shared" si="30"/>
        <v>98794.55863208833</v>
      </c>
      <c r="M11" s="2">
        <f t="shared" si="4"/>
        <v>3.8518406040000119E-3</v>
      </c>
      <c r="N11" s="2">
        <f t="shared" si="5"/>
        <v>5.9078732081778917E-3</v>
      </c>
      <c r="O11" s="2">
        <f t="shared" si="31"/>
        <v>96480.352753141153</v>
      </c>
      <c r="P11" s="2">
        <f t="shared" si="6"/>
        <v>235.98672205997539</v>
      </c>
      <c r="Q11" s="2">
        <f t="shared" si="7"/>
        <v>81085.295212279452</v>
      </c>
      <c r="R11" s="2">
        <f t="shared" si="8"/>
        <v>79185.918672978063</v>
      </c>
      <c r="S11" s="2">
        <f>SUM(Q11:Q74)</f>
        <v>1868634.4304670137</v>
      </c>
      <c r="T11" s="2">
        <f>SUM(R11:R74)</f>
        <v>1575637.1652231738</v>
      </c>
      <c r="U11" s="2">
        <f>1</f>
        <v>1</v>
      </c>
      <c r="V11" s="2">
        <f t="shared" si="9"/>
        <v>191.30869622136714</v>
      </c>
      <c r="W11" s="2">
        <f>SUMPRODUCT(U11:U73,V11:V73)</f>
        <v>35949.966275325787</v>
      </c>
      <c r="X11" s="2">
        <f>IF(Q11=0,0,((W11+(betaPrime*(S23-S74)))-(($BB$18*(T11-T23))*(D11&lt;=$BB$4)))/Q11)</f>
        <v>0.20977198136880448</v>
      </c>
      <c r="Y11" s="4">
        <f t="shared" si="10"/>
        <v>20977</v>
      </c>
      <c r="Z11" s="2">
        <f t="shared" si="11"/>
        <v>0</v>
      </c>
      <c r="AA11" s="2">
        <f t="shared" si="12"/>
        <v>0.20977198136880448</v>
      </c>
      <c r="AB11" s="2">
        <f t="shared" si="13"/>
        <v>0.20977198136880448</v>
      </c>
      <c r="AC11" s="2">
        <f t="shared" si="14"/>
        <v>0.25022045081018929</v>
      </c>
      <c r="AD11" s="2">
        <f t="shared" si="15"/>
        <v>0.83834866690385768</v>
      </c>
      <c r="AF11" s="2">
        <f t="shared" si="16"/>
        <v>5.58037028E-3</v>
      </c>
      <c r="AG11" s="2">
        <f t="shared" si="32"/>
        <v>96639.708569871989</v>
      </c>
      <c r="AH11" s="2">
        <f t="shared" si="17"/>
        <v>3.8518406040000119E-3</v>
      </c>
      <c r="AI11" s="2">
        <f t="shared" si="18"/>
        <v>5.9078732081778917E-3</v>
      </c>
      <c r="AJ11" s="2">
        <f t="shared" si="33"/>
        <v>96480.352753141153</v>
      </c>
      <c r="AK11" s="2">
        <f t="shared" si="19"/>
        <v>340.55833300022886</v>
      </c>
      <c r="AL11" s="2">
        <f t="shared" si="20"/>
        <v>79316.709413099015</v>
      </c>
      <c r="AM11" s="2">
        <f t="shared" si="21"/>
        <v>79185.918672978063</v>
      </c>
      <c r="AN11" s="2">
        <f>SUM(AL11:AL63)</f>
        <v>1589489.6570884024</v>
      </c>
      <c r="AO11" s="2">
        <f>SUM(AM11:AM63)</f>
        <v>1575484.5796534591</v>
      </c>
      <c r="AP11" s="2">
        <f t="shared" si="22"/>
        <v>1</v>
      </c>
      <c r="AQ11" s="2">
        <f t="shared" si="23"/>
        <v>276.08235796011365</v>
      </c>
      <c r="AR11" s="2">
        <f>SUMPRODUCT(AP11:AP62,AQ11:AQ62)</f>
        <v>19743.906136222537</v>
      </c>
      <c r="AS11" s="2">
        <f>IF(AL11=0,0,((AR11+(betaPrime*(AN23-AN63)))-(($BC$18*(AO11-AO23))*(D11&lt;=$BC$4)))/AL11)</f>
        <v>0.10949639295153256</v>
      </c>
      <c r="AT11" s="4">
        <f t="shared" si="24"/>
        <v>10950</v>
      </c>
      <c r="AU11" s="2">
        <f t="shared" si="25"/>
        <v>0</v>
      </c>
      <c r="AV11" s="2">
        <f t="shared" si="26"/>
        <v>0.10949639295153256</v>
      </c>
      <c r="AW11" s="2">
        <f t="shared" si="27"/>
        <v>0.10949639295153256</v>
      </c>
      <c r="AX11" s="2">
        <f t="shared" si="28"/>
        <v>0.15592748309807711</v>
      </c>
      <c r="AY11" s="2">
        <f t="shared" si="29"/>
        <v>0.70222638611219179</v>
      </c>
      <c r="BA11" t="s">
        <v>55</v>
      </c>
      <c r="BB11" t="s">
        <v>56</v>
      </c>
      <c r="BC11" t="s">
        <v>56</v>
      </c>
    </row>
    <row r="12" spans="1:56" x14ac:dyDescent="0.45">
      <c r="A12" t="s">
        <v>57</v>
      </c>
      <c r="B12" s="3">
        <v>1E-3</v>
      </c>
      <c r="D12" s="1">
        <v>9</v>
      </c>
      <c r="E12" s="1">
        <f t="shared" si="0"/>
        <v>49</v>
      </c>
      <c r="F12" s="3">
        <v>2.2499999999999998E-3</v>
      </c>
      <c r="G12" s="3">
        <v>3.6699999999999998E-4</v>
      </c>
      <c r="H12" s="3">
        <v>3.741E-3</v>
      </c>
      <c r="I12" s="3">
        <f t="shared" si="1"/>
        <v>0.8007283617688703</v>
      </c>
      <c r="J12" s="3">
        <f t="shared" si="2"/>
        <v>0.7909031017958531</v>
      </c>
      <c r="K12" s="2">
        <f t="shared" si="3"/>
        <v>2.616587125E-3</v>
      </c>
      <c r="L12" s="2">
        <f t="shared" si="30"/>
        <v>98558.571910028346</v>
      </c>
      <c r="M12" s="2">
        <f t="shared" si="4"/>
        <v>4.1066270530000226E-3</v>
      </c>
      <c r="N12" s="2">
        <f t="shared" si="5"/>
        <v>6.3520070975653983E-3</v>
      </c>
      <c r="O12" s="2">
        <f t="shared" si="31"/>
        <v>95910.359061995317</v>
      </c>
      <c r="P12" s="2">
        <f t="shared" si="6"/>
        <v>257.88709031816683</v>
      </c>
      <c r="Q12" s="2">
        <f t="shared" si="7"/>
        <v>78918.643823796388</v>
      </c>
      <c r="R12" s="2">
        <f t="shared" si="8"/>
        <v>76798.144688375629</v>
      </c>
      <c r="S12" s="2">
        <f>SUM(Q12:Q74)</f>
        <v>1787549.1352547342</v>
      </c>
      <c r="T12" s="2">
        <f>SUM(R12:R74)</f>
        <v>1496451.2465501954</v>
      </c>
      <c r="U12" s="2">
        <f>1</f>
        <v>1</v>
      </c>
      <c r="V12" s="2">
        <f t="shared" si="9"/>
        <v>203.96369964574546</v>
      </c>
      <c r="W12" s="2">
        <f>SUMPRODUCT(U12:U73,V12:V73)</f>
        <v>35758.657579104423</v>
      </c>
      <c r="X12" s="2">
        <f>IF(Q12=0,0,((W12+(betaPrime*(S23-S74)))-(($BB$18*(T12-T23))*(D12&lt;=$BB$4)))/Q12)</f>
        <v>0.23814024110514223</v>
      </c>
      <c r="Y12" s="4">
        <f t="shared" si="10"/>
        <v>23814</v>
      </c>
      <c r="Z12" s="2">
        <f t="shared" si="11"/>
        <v>0</v>
      </c>
      <c r="AA12" s="2">
        <f t="shared" si="12"/>
        <v>0.23814024110514223</v>
      </c>
      <c r="AB12" s="2">
        <f t="shared" si="13"/>
        <v>0.23814024110514223</v>
      </c>
      <c r="AC12" s="2">
        <f t="shared" si="14"/>
        <v>0.281498007161463</v>
      </c>
      <c r="AD12" s="2">
        <f t="shared" si="15"/>
        <v>0.8459748738773436</v>
      </c>
      <c r="AF12" s="2">
        <f t="shared" si="16"/>
        <v>5.9867913749999998E-3</v>
      </c>
      <c r="AG12" s="2">
        <f t="shared" si="32"/>
        <v>96100.423212300811</v>
      </c>
      <c r="AH12" s="2">
        <f t="shared" si="17"/>
        <v>4.1066270530000226E-3</v>
      </c>
      <c r="AI12" s="2">
        <f t="shared" si="18"/>
        <v>6.3520070975653983E-3</v>
      </c>
      <c r="AJ12" s="2">
        <f t="shared" si="33"/>
        <v>95910.359061995317</v>
      </c>
      <c r="AK12" s="2">
        <f t="shared" si="19"/>
        <v>359.51168323721731</v>
      </c>
      <c r="AL12" s="2">
        <f t="shared" si="20"/>
        <v>76950.334444080741</v>
      </c>
      <c r="AM12" s="2">
        <f t="shared" si="21"/>
        <v>76798.144688375629</v>
      </c>
      <c r="AN12" s="2">
        <f>SUM(AL12:AL63)</f>
        <v>1510172.9476753038</v>
      </c>
      <c r="AO12" s="2">
        <f>SUM(AM12:AM63)</f>
        <v>1496298.6609804807</v>
      </c>
      <c r="AP12" s="2">
        <f t="shared" si="22"/>
        <v>1</v>
      </c>
      <c r="AQ12" s="2">
        <f t="shared" si="23"/>
        <v>284.33890540416337</v>
      </c>
      <c r="AR12" s="2">
        <f>SUMPRODUCT(AP12:AP62,AQ12:AQ62)</f>
        <v>19467.82377826242</v>
      </c>
      <c r="AS12" s="2">
        <f>IF(AL12=0,0,((AR12+(betaPrime*(AN23-AN63)))-(($BC$18*(AO12-AO23))*(D12&lt;=$BC$4)))/AL12)</f>
        <v>0.12450387917761936</v>
      </c>
      <c r="AT12" s="4">
        <f t="shared" si="24"/>
        <v>12450</v>
      </c>
      <c r="AU12" s="2">
        <f t="shared" si="25"/>
        <v>0</v>
      </c>
      <c r="AV12" s="2">
        <f t="shared" si="26"/>
        <v>0.12450387917761936</v>
      </c>
      <c r="AW12" s="2">
        <f t="shared" si="27"/>
        <v>0.12450387917761936</v>
      </c>
      <c r="AX12" s="2">
        <f t="shared" si="28"/>
        <v>0.17541841848533676</v>
      </c>
      <c r="AY12" s="2">
        <f t="shared" si="29"/>
        <v>0.70975374337915742</v>
      </c>
      <c r="BA12" t="s">
        <v>58</v>
      </c>
      <c r="BB12" s="3">
        <f>($BB$10/$BB$9)</f>
        <v>2.0520036470605516E-3</v>
      </c>
      <c r="BC12" s="3">
        <f>($BC$10/$BC$9)</f>
        <v>1.2074073723646387E-3</v>
      </c>
    </row>
    <row r="13" spans="1:56" x14ac:dyDescent="0.45">
      <c r="A13" t="s">
        <v>59</v>
      </c>
      <c r="B13" s="3">
        <v>2.5000000000000001E-2</v>
      </c>
      <c r="D13" s="1">
        <v>10</v>
      </c>
      <c r="E13" s="1">
        <f t="shared" si="0"/>
        <v>50</v>
      </c>
      <c r="F13" s="3">
        <v>2.4399999999999999E-3</v>
      </c>
      <c r="G13" s="3">
        <v>2.5999999999999998E-4</v>
      </c>
      <c r="H13" s="3">
        <v>3.9880000000000002E-3</v>
      </c>
      <c r="I13" s="3">
        <f t="shared" si="1"/>
        <v>0.78119840172572719</v>
      </c>
      <c r="J13" s="3">
        <f t="shared" si="2"/>
        <v>0.77161278223985674</v>
      </c>
      <c r="K13" s="2">
        <f t="shared" si="3"/>
        <v>2.6996827999999995E-3</v>
      </c>
      <c r="L13" s="2">
        <f t="shared" si="30"/>
        <v>98300.684819710179</v>
      </c>
      <c r="M13" s="2">
        <f t="shared" si="4"/>
        <v>4.2469631200000579E-3</v>
      </c>
      <c r="N13" s="2">
        <f t="shared" si="5"/>
        <v>6.6817818249936571E-3</v>
      </c>
      <c r="O13" s="2">
        <f t="shared" si="31"/>
        <v>95301.135780503479</v>
      </c>
      <c r="P13" s="2">
        <f t="shared" si="6"/>
        <v>265.38066803599264</v>
      </c>
      <c r="Q13" s="2">
        <f t="shared" si="7"/>
        <v>76792.337869702038</v>
      </c>
      <c r="R13" s="2">
        <f t="shared" si="8"/>
        <v>74449.094954375832</v>
      </c>
      <c r="S13" s="2">
        <f>SUM(Q13:Q74)</f>
        <v>1708630.4914309375</v>
      </c>
      <c r="T13" s="2">
        <f>SUM(R13:R74)</f>
        <v>1419653.1018618196</v>
      </c>
      <c r="U13" s="2">
        <f>1</f>
        <v>1</v>
      </c>
      <c r="V13" s="2">
        <f t="shared" si="9"/>
        <v>204.77111561592409</v>
      </c>
      <c r="W13" s="2">
        <f>SUMPRODUCT(U13:U73,V13:V73)</f>
        <v>35554.693879458675</v>
      </c>
      <c r="X13" s="2">
        <f>IF(Q13=0,0,((W13+(betaPrime*(S23-S74)))-(($BB$18*(T13-T23))*(D13&lt;=$BB$4)))/Q13)</f>
        <v>0.26702872009307138</v>
      </c>
      <c r="Y13" s="4">
        <f t="shared" si="10"/>
        <v>26703</v>
      </c>
      <c r="Z13" s="2">
        <f t="shared" si="11"/>
        <v>0</v>
      </c>
      <c r="AA13" s="2">
        <f t="shared" si="12"/>
        <v>0.26702872009307138</v>
      </c>
      <c r="AB13" s="2">
        <f t="shared" si="13"/>
        <v>0.26702872009307138</v>
      </c>
      <c r="AC13" s="2">
        <f t="shared" si="14"/>
        <v>0.31277556351273667</v>
      </c>
      <c r="AD13" s="2">
        <f t="shared" si="15"/>
        <v>0.85373907441524788</v>
      </c>
      <c r="AF13" s="2">
        <f t="shared" si="16"/>
        <v>6.4231346399999997E-3</v>
      </c>
      <c r="AG13" s="2">
        <f t="shared" si="32"/>
        <v>95525.090027479557</v>
      </c>
      <c r="AH13" s="2">
        <f t="shared" si="17"/>
        <v>4.2469631200000579E-3</v>
      </c>
      <c r="AI13" s="2">
        <f t="shared" si="18"/>
        <v>6.6817818249936571E-3</v>
      </c>
      <c r="AJ13" s="2">
        <f t="shared" si="33"/>
        <v>95301.135780503479</v>
      </c>
      <c r="AK13" s="2">
        <f t="shared" si="19"/>
        <v>380.95405902958851</v>
      </c>
      <c r="AL13" s="2">
        <f t="shared" si="20"/>
        <v>74624.047654173235</v>
      </c>
      <c r="AM13" s="2">
        <f t="shared" si="21"/>
        <v>74449.094954375832</v>
      </c>
      <c r="AN13" s="2">
        <f>SUM(AL13:AL63)</f>
        <v>1433222.6132312228</v>
      </c>
      <c r="AO13" s="2">
        <f>SUM(AM13:AM63)</f>
        <v>1419500.516292105</v>
      </c>
      <c r="AP13" s="2">
        <f t="shared" si="22"/>
        <v>1</v>
      </c>
      <c r="AQ13" s="2">
        <f t="shared" si="23"/>
        <v>293.9490213933874</v>
      </c>
      <c r="AR13" s="2">
        <f>SUMPRODUCT(AP13:AP62,AQ13:AQ62)</f>
        <v>19183.484872858258</v>
      </c>
      <c r="AS13" s="2">
        <f>IF(AL13=0,0,((AR13+(betaPrime*(AN23-AN63)))-(($BC$18*(AO13-AO23))*(D13&lt;=$BC$4)))/AL13)</f>
        <v>0.13980406962234546</v>
      </c>
      <c r="AT13" s="4">
        <f t="shared" si="24"/>
        <v>13980</v>
      </c>
      <c r="AU13" s="2">
        <f t="shared" si="25"/>
        <v>0</v>
      </c>
      <c r="AV13" s="2">
        <f t="shared" si="26"/>
        <v>0.13980406962234546</v>
      </c>
      <c r="AW13" s="2">
        <f t="shared" si="27"/>
        <v>0.13980406962234546</v>
      </c>
      <c r="AX13" s="2">
        <f t="shared" si="28"/>
        <v>0.19490935387259639</v>
      </c>
      <c r="AY13" s="2">
        <f t="shared" si="29"/>
        <v>0.71727737455704244</v>
      </c>
      <c r="BA13" t="s">
        <v>60</v>
      </c>
      <c r="BB13" s="3">
        <f>($BB$10/(T3-T23))</f>
        <v>2.4273647717323835E-2</v>
      </c>
      <c r="BC13" s="3">
        <f>($BC$10/(AO3-AO23))</f>
        <v>1.4282713995202779E-2</v>
      </c>
    </row>
    <row r="14" spans="1:56" x14ac:dyDescent="0.45">
      <c r="A14" t="s">
        <v>61</v>
      </c>
      <c r="B14" s="2">
        <v>0</v>
      </c>
      <c r="D14" s="1">
        <v>11</v>
      </c>
      <c r="E14" s="1">
        <f t="shared" si="0"/>
        <v>51</v>
      </c>
      <c r="F14" s="3">
        <v>2.65E-3</v>
      </c>
      <c r="G14" s="3">
        <v>2.81E-4</v>
      </c>
      <c r="H14" s="3">
        <v>4.2680000000000001E-3</v>
      </c>
      <c r="I14" s="3">
        <f t="shared" si="1"/>
        <v>0.76214478217144122</v>
      </c>
      <c r="J14" s="3">
        <f t="shared" si="2"/>
        <v>0.75279295828278714</v>
      </c>
      <c r="K14" s="2">
        <f t="shared" si="3"/>
        <v>2.9306276750000002E-3</v>
      </c>
      <c r="L14" s="2">
        <f t="shared" si="30"/>
        <v>98035.304151674194</v>
      </c>
      <c r="M14" s="2">
        <f t="shared" si="4"/>
        <v>4.5478006920000036E-3</v>
      </c>
      <c r="N14" s="2">
        <f t="shared" si="5"/>
        <v>7.1917748560831034E-3</v>
      </c>
      <c r="O14" s="2">
        <f t="shared" si="31"/>
        <v>94664.354383544051</v>
      </c>
      <c r="P14" s="2">
        <f t="shared" si="6"/>
        <v>287.30497547393884</v>
      </c>
      <c r="Q14" s="2">
        <f t="shared" si="7"/>
        <v>74717.095527788711</v>
      </c>
      <c r="R14" s="2">
        <f t="shared" si="8"/>
        <v>72147.943751046303</v>
      </c>
      <c r="S14" s="2">
        <f>SUM(Q14:Q74)</f>
        <v>1631838.1535612356</v>
      </c>
      <c r="T14" s="2">
        <f>SUM(R14:R74)</f>
        <v>1345204.006907444</v>
      </c>
      <c r="U14" s="2">
        <f>1</f>
        <v>1</v>
      </c>
      <c r="V14" s="2">
        <f t="shared" si="9"/>
        <v>216.28116241639003</v>
      </c>
      <c r="W14" s="2">
        <f>SUMPRODUCT(U14:U73,V14:V73)</f>
        <v>35349.922763842762</v>
      </c>
      <c r="X14" s="2">
        <f>IF(Q14=0,0,((W14+(betaPrime*(S23-S74)))-(($BB$18*(T14-T23))*(D14&lt;=$BB$4)))/Q14)</f>
        <v>0.29656400678823863</v>
      </c>
      <c r="Y14" s="4">
        <f t="shared" si="10"/>
        <v>29656</v>
      </c>
      <c r="Z14" s="2">
        <f t="shared" si="11"/>
        <v>0</v>
      </c>
      <c r="AA14" s="2">
        <f t="shared" si="12"/>
        <v>0.29656400678823863</v>
      </c>
      <c r="AB14" s="2">
        <f t="shared" si="13"/>
        <v>0.29656400678823863</v>
      </c>
      <c r="AC14" s="2">
        <f t="shared" si="14"/>
        <v>0.34405311986401033</v>
      </c>
      <c r="AD14" s="2">
        <f t="shared" si="15"/>
        <v>0.86197156679020337</v>
      </c>
      <c r="AF14" s="2">
        <f t="shared" si="16"/>
        <v>6.9123449000000007E-3</v>
      </c>
      <c r="AG14" s="2">
        <f t="shared" si="32"/>
        <v>94911.519512734929</v>
      </c>
      <c r="AH14" s="2">
        <f t="shared" si="17"/>
        <v>4.5478006920000036E-3</v>
      </c>
      <c r="AI14" s="2">
        <f t="shared" si="18"/>
        <v>7.1917748560831034E-3</v>
      </c>
      <c r="AJ14" s="2">
        <f t="shared" si="33"/>
        <v>94664.354383544051</v>
      </c>
      <c r="AK14" s="2">
        <f t="shared" si="19"/>
        <v>405.08236528035269</v>
      </c>
      <c r="AL14" s="2">
        <f t="shared" si="20"/>
        <v>72336.319364593859</v>
      </c>
      <c r="AM14" s="2">
        <f t="shared" si="21"/>
        <v>72147.943751046303</v>
      </c>
      <c r="AN14" s="2">
        <f>SUM(AL14:AL63)</f>
        <v>1358598.56557705</v>
      </c>
      <c r="AO14" s="2">
        <f>SUM(AM14:AM63)</f>
        <v>1345051.4213377293</v>
      </c>
      <c r="AP14" s="2">
        <f t="shared" si="22"/>
        <v>1</v>
      </c>
      <c r="AQ14" s="2">
        <f t="shared" si="23"/>
        <v>304.94315210758526</v>
      </c>
      <c r="AR14" s="2">
        <f>SUMPRODUCT(AP14:AP62,AQ14:AQ62)</f>
        <v>18889.535851464876</v>
      </c>
      <c r="AS14" s="2">
        <f>IF(AL14=0,0,((AR14+(betaPrime*(AN23-AN63)))-(($BC$18*(AO14-AO23))*(D14&lt;=$BC$4)))/AL14)</f>
        <v>0.1553922620438464</v>
      </c>
      <c r="AT14" s="4">
        <f t="shared" si="24"/>
        <v>15539</v>
      </c>
      <c r="AU14" s="2">
        <f t="shared" si="25"/>
        <v>0</v>
      </c>
      <c r="AV14" s="2">
        <f t="shared" si="26"/>
        <v>0.1553922620438464</v>
      </c>
      <c r="AW14" s="2">
        <f t="shared" si="27"/>
        <v>0.1553922620438464</v>
      </c>
      <c r="AX14" s="2">
        <f t="shared" si="28"/>
        <v>0.21440028925985602</v>
      </c>
      <c r="AY14" s="2">
        <f t="shared" si="29"/>
        <v>0.72477636378330113</v>
      </c>
      <c r="BA14" t="s">
        <v>62</v>
      </c>
      <c r="BB14" s="3">
        <f>(((($BB$12+(((alphaS+($BB$7*$BB$13))*R3)/$BB$9))+(betaS/k_freq))+((betaPrime*(S23-S74))/$BB$9))/((1-betaG)-gamma))</f>
        <v>2.6064630292728054E-3</v>
      </c>
      <c r="BC14" s="3">
        <f>(((($BC$12+(((alphaS+($BC$7*$BC$13))*AM3)/$BC$9))+(betaS/k_freq))+((betaPrime*(AN23-AN63))/$BC$9))/((1-betaG)-gamma))</f>
        <v>1.6242446156049699E-3</v>
      </c>
    </row>
    <row r="15" spans="1:56" x14ac:dyDescent="0.45">
      <c r="D15" s="1">
        <v>12</v>
      </c>
      <c r="E15" s="1">
        <f t="shared" si="0"/>
        <v>52</v>
      </c>
      <c r="F15" s="3">
        <v>2.8999999999999998E-3</v>
      </c>
      <c r="G15" s="3">
        <v>3.0200000000000002E-4</v>
      </c>
      <c r="H15" s="3">
        <v>4.5909999999999996E-3</v>
      </c>
      <c r="I15" s="3">
        <f t="shared" si="1"/>
        <v>0.74355588504530856</v>
      </c>
      <c r="J15" s="3">
        <f t="shared" si="2"/>
        <v>0.73443215442223142</v>
      </c>
      <c r="K15" s="2">
        <f t="shared" si="3"/>
        <v>3.2015620999999998E-3</v>
      </c>
      <c r="L15" s="2">
        <f t="shared" si="30"/>
        <v>97747.999176200261</v>
      </c>
      <c r="M15" s="2">
        <f t="shared" si="4"/>
        <v>4.8916135180000486E-3</v>
      </c>
      <c r="N15" s="2">
        <f t="shared" si="5"/>
        <v>7.7845206783989486E-3</v>
      </c>
      <c r="O15" s="2">
        <f t="shared" si="31"/>
        <v>93983.549659921133</v>
      </c>
      <c r="P15" s="2">
        <f t="shared" si="6"/>
        <v>312.94628951335397</v>
      </c>
      <c r="Q15" s="2">
        <f t="shared" si="7"/>
        <v>72681.100038867677</v>
      </c>
      <c r="R15" s="2">
        <f t="shared" si="8"/>
        <v>69882.02144708237</v>
      </c>
      <c r="S15" s="2">
        <f>SUM(Q15:Q74)</f>
        <v>1557121.0580334468</v>
      </c>
      <c r="T15" s="2">
        <f>SUM(R15:R74)</f>
        <v>1273056.0631563975</v>
      </c>
      <c r="U15" s="2">
        <f>1</f>
        <v>1</v>
      </c>
      <c r="V15" s="2">
        <f t="shared" si="9"/>
        <v>229.83781762573594</v>
      </c>
      <c r="W15" s="2">
        <f>SUMPRODUCT(U15:U73,V15:V73)</f>
        <v>35133.641601426367</v>
      </c>
      <c r="X15" s="2">
        <f>IF(Q15=0,0,((W15+(betaPrime*(S23-S74)))-(($BB$18*(T15-T23))*(D15&lt;=$BB$4)))/Q15)</f>
        <v>0.32666156437279525</v>
      </c>
      <c r="Y15" s="4">
        <f t="shared" si="10"/>
        <v>32666</v>
      </c>
      <c r="Z15" s="2">
        <f t="shared" si="11"/>
        <v>0</v>
      </c>
      <c r="AA15" s="2">
        <f t="shared" si="12"/>
        <v>0.32666156437279525</v>
      </c>
      <c r="AB15" s="2">
        <f t="shared" si="13"/>
        <v>0.32666156437279525</v>
      </c>
      <c r="AC15" s="2">
        <f t="shared" si="14"/>
        <v>0.37533067621528399</v>
      </c>
      <c r="AD15" s="2">
        <f t="shared" si="15"/>
        <v>0.87033004513978796</v>
      </c>
      <c r="AF15" s="2">
        <f t="shared" si="16"/>
        <v>7.484343049999999E-3</v>
      </c>
      <c r="AG15" s="2">
        <f t="shared" si="32"/>
        <v>94255.458354879825</v>
      </c>
      <c r="AH15" s="2">
        <f t="shared" si="17"/>
        <v>4.8916135180000486E-3</v>
      </c>
      <c r="AI15" s="2">
        <f t="shared" si="18"/>
        <v>7.7845206783989486E-3</v>
      </c>
      <c r="AJ15" s="2">
        <f t="shared" si="33"/>
        <v>93983.549659921133</v>
      </c>
      <c r="AK15" s="2">
        <f t="shared" si="19"/>
        <v>432.72680930725323</v>
      </c>
      <c r="AL15" s="2">
        <f t="shared" si="20"/>
        <v>70084.200757413899</v>
      </c>
      <c r="AM15" s="2">
        <f t="shared" si="21"/>
        <v>69882.02144708237</v>
      </c>
      <c r="AN15" s="2">
        <f>SUM(AL15:AL63)</f>
        <v>1286262.2462124559</v>
      </c>
      <c r="AO15" s="2">
        <f>SUM(AM15:AM63)</f>
        <v>1272903.4775866829</v>
      </c>
      <c r="AP15" s="2">
        <f t="shared" si="22"/>
        <v>1</v>
      </c>
      <c r="AQ15" s="2">
        <f t="shared" si="23"/>
        <v>317.8084828357841</v>
      </c>
      <c r="AR15" s="2">
        <f>SUMPRODUCT(AP15:AP62,AQ15:AQ62)</f>
        <v>18584.59269935729</v>
      </c>
      <c r="AS15" s="2">
        <f>IF(AL15=0,0,((AR15+(betaPrime*(AN23-AN63)))-(($BC$18*(AO15-AO23))*(D15&lt;=$BC$4)))/AL15)</f>
        <v>0.17126850313648409</v>
      </c>
      <c r="AT15" s="4">
        <f t="shared" si="24"/>
        <v>17127</v>
      </c>
      <c r="AU15" s="2">
        <f t="shared" si="25"/>
        <v>0</v>
      </c>
      <c r="AV15" s="2">
        <f t="shared" si="26"/>
        <v>0.17126850313648409</v>
      </c>
      <c r="AW15" s="2">
        <f t="shared" si="27"/>
        <v>0.17126850313648409</v>
      </c>
      <c r="AX15" s="2">
        <f t="shared" si="28"/>
        <v>0.23389122464711568</v>
      </c>
      <c r="AY15" s="2">
        <f t="shared" si="29"/>
        <v>0.73225707118719885</v>
      </c>
      <c r="BA15" t="s">
        <v>63</v>
      </c>
      <c r="BB15" s="3">
        <f>ROUND($BB$14,6)</f>
        <v>2.6059999999999998E-3</v>
      </c>
      <c r="BC15" s="3">
        <f>ROUND($BC$14,6)</f>
        <v>1.624E-3</v>
      </c>
    </row>
    <row r="16" spans="1:56" x14ac:dyDescent="0.45">
      <c r="A16" t="s">
        <v>64</v>
      </c>
      <c r="D16" s="1">
        <v>13</v>
      </c>
      <c r="E16" s="1">
        <f t="shared" si="0"/>
        <v>53</v>
      </c>
      <c r="F16" s="3">
        <v>3.1700000000000001E-3</v>
      </c>
      <c r="G16" s="3">
        <v>3.2299999999999999E-4</v>
      </c>
      <c r="H16" s="3">
        <v>4.9550000000000002E-3</v>
      </c>
      <c r="I16" s="3">
        <f t="shared" si="1"/>
        <v>0.72542037565395956</v>
      </c>
      <c r="J16" s="3">
        <f t="shared" si="2"/>
        <v>0.71651917504607954</v>
      </c>
      <c r="K16" s="2">
        <f t="shared" si="3"/>
        <v>3.492488045E-3</v>
      </c>
      <c r="L16" s="2">
        <f t="shared" si="30"/>
        <v>97435.052886686914</v>
      </c>
      <c r="M16" s="2">
        <f t="shared" si="4"/>
        <v>5.2763995350000314E-3</v>
      </c>
      <c r="N16" s="2">
        <f t="shared" si="5"/>
        <v>8.4380364417370561E-3</v>
      </c>
      <c r="O16" s="2">
        <f t="shared" si="31"/>
        <v>93251.932774164146</v>
      </c>
      <c r="P16" s="2">
        <f t="shared" si="6"/>
        <v>340.29075737069678</v>
      </c>
      <c r="Q16" s="2">
        <f t="shared" si="7"/>
        <v>70681.372666923839</v>
      </c>
      <c r="R16" s="2">
        <f t="shared" si="8"/>
        <v>67646.852103491939</v>
      </c>
      <c r="S16" s="2">
        <f>SUM(Q16:Q74)</f>
        <v>1484439.9579945791</v>
      </c>
      <c r="T16" s="2">
        <f>SUM(R16:R74)</f>
        <v>1203174.041709315</v>
      </c>
      <c r="U16" s="2">
        <f>1</f>
        <v>1</v>
      </c>
      <c r="V16" s="2">
        <f t="shared" si="9"/>
        <v>243.82485274705726</v>
      </c>
      <c r="W16" s="2">
        <f>SUMPRODUCT(U16:U73,V16:V73)</f>
        <v>34903.803783800635</v>
      </c>
      <c r="X16" s="2">
        <f>IF(Q16=0,0,((W16+(betaPrime*(S23-S74)))-(($BB$18*(T16-T23))*(D16&lt;=$BB$4)))/Q16)</f>
        <v>0.35731838377669251</v>
      </c>
      <c r="Y16" s="4">
        <f t="shared" si="10"/>
        <v>35732</v>
      </c>
      <c r="Z16" s="2">
        <f t="shared" si="11"/>
        <v>0</v>
      </c>
      <c r="AA16" s="2">
        <f t="shared" si="12"/>
        <v>0.35731838377669251</v>
      </c>
      <c r="AB16" s="2">
        <f t="shared" si="13"/>
        <v>0.35731838377669251</v>
      </c>
      <c r="AC16" s="2">
        <f t="shared" si="14"/>
        <v>0.40660823256655765</v>
      </c>
      <c r="AD16" s="2">
        <f t="shared" si="15"/>
        <v>0.87877803536160104</v>
      </c>
      <c r="AF16" s="2">
        <f t="shared" si="16"/>
        <v>8.1171463249999996E-3</v>
      </c>
      <c r="AG16" s="2">
        <f t="shared" si="32"/>
        <v>93550.018170216921</v>
      </c>
      <c r="AH16" s="2">
        <f t="shared" si="17"/>
        <v>5.2763995350000314E-3</v>
      </c>
      <c r="AI16" s="2">
        <f t="shared" si="18"/>
        <v>8.4380364417370561E-3</v>
      </c>
      <c r="AJ16" s="2">
        <f t="shared" si="33"/>
        <v>93251.932774164146</v>
      </c>
      <c r="AK16" s="2">
        <f t="shared" si="19"/>
        <v>463.54034003342485</v>
      </c>
      <c r="AL16" s="2">
        <f t="shared" si="20"/>
        <v>67863.089323473498</v>
      </c>
      <c r="AM16" s="2">
        <f t="shared" si="21"/>
        <v>67646.852103491939</v>
      </c>
      <c r="AN16" s="2">
        <f>SUM(AL16:AL63)</f>
        <v>1216178.045455042</v>
      </c>
      <c r="AO16" s="2">
        <f>SUM(AM16:AM63)</f>
        <v>1203021.4561396004</v>
      </c>
      <c r="AP16" s="2">
        <f t="shared" si="22"/>
        <v>1</v>
      </c>
      <c r="AQ16" s="2">
        <f t="shared" si="23"/>
        <v>332.13554204132879</v>
      </c>
      <c r="AR16" s="2">
        <f>SUMPRODUCT(AP16:AP62,AQ16:AQ62)</f>
        <v>18266.784216521504</v>
      </c>
      <c r="AS16" s="2">
        <f>IF(AL16=0,0,((AR16+(betaPrime*(AN23-AN63)))-(($BC$18*(AO16-AO23))*(D16&lt;=$BC$4)))/AL16)</f>
        <v>0.18742929908274253</v>
      </c>
      <c r="AT16" s="4">
        <f t="shared" si="24"/>
        <v>18743</v>
      </c>
      <c r="AU16" s="2">
        <f t="shared" si="25"/>
        <v>0</v>
      </c>
      <c r="AV16" s="2">
        <f t="shared" si="26"/>
        <v>0.18742929908274253</v>
      </c>
      <c r="AW16" s="2">
        <f t="shared" si="27"/>
        <v>0.18742929908274253</v>
      </c>
      <c r="AX16" s="2">
        <f t="shared" si="28"/>
        <v>0.2533821600343753</v>
      </c>
      <c r="AY16" s="2">
        <f t="shared" si="29"/>
        <v>0.73970992692348492</v>
      </c>
      <c r="BA16" t="s">
        <v>65</v>
      </c>
      <c r="BB16" s="4">
        <f>ROUND(($BB$15*100000),0)</f>
        <v>261</v>
      </c>
      <c r="BC16" s="4">
        <f>ROUND(($BC$15*100000),0)</f>
        <v>162</v>
      </c>
      <c r="BD16" s="4">
        <f>SUM(BB16:BC16)</f>
        <v>423</v>
      </c>
    </row>
    <row r="17" spans="4:56" x14ac:dyDescent="0.45">
      <c r="D17" s="1">
        <v>14</v>
      </c>
      <c r="E17" s="1">
        <f t="shared" si="0"/>
        <v>54</v>
      </c>
      <c r="F17" s="3">
        <v>3.48E-3</v>
      </c>
      <c r="G17" s="3">
        <v>3.4200000000000002E-4</v>
      </c>
      <c r="H17" s="3">
        <v>5.359E-3</v>
      </c>
      <c r="I17" s="3">
        <f t="shared" si="1"/>
        <v>0.70772719575996068</v>
      </c>
      <c r="J17" s="3">
        <f t="shared" si="2"/>
        <v>0.69904309760593131</v>
      </c>
      <c r="K17" s="2">
        <f t="shared" si="3"/>
        <v>3.8214049199999998E-3</v>
      </c>
      <c r="L17" s="2">
        <f t="shared" si="30"/>
        <v>97094.762129316208</v>
      </c>
      <c r="M17" s="2">
        <f t="shared" si="4"/>
        <v>5.6991672219999234E-3</v>
      </c>
      <c r="N17" s="2">
        <f t="shared" si="5"/>
        <v>9.1692506710336439E-3</v>
      </c>
      <c r="O17" s="2">
        <f t="shared" si="31"/>
        <v>92465.069567153332</v>
      </c>
      <c r="P17" s="2">
        <f t="shared" si="6"/>
        <v>371.0384017071986</v>
      </c>
      <c r="Q17" s="2">
        <f t="shared" si="7"/>
        <v>68716.603724761386</v>
      </c>
      <c r="R17" s="2">
        <f t="shared" si="8"/>
        <v>65440.04439051111</v>
      </c>
      <c r="S17" s="2">
        <f>SUM(Q17:Q74)</f>
        <v>1413758.5853276551</v>
      </c>
      <c r="T17" s="2">
        <f>SUM(R17:R74)</f>
        <v>1135527.1896058233</v>
      </c>
      <c r="U17" s="2">
        <f>1</f>
        <v>1</v>
      </c>
      <c r="V17" s="2">
        <f t="shared" si="9"/>
        <v>259.37183366015398</v>
      </c>
      <c r="W17" s="2">
        <f>SUMPRODUCT(U17:U73,V17:V73)</f>
        <v>34659.978931053578</v>
      </c>
      <c r="X17" s="2">
        <f>IF(Q17=0,0,((W17+(betaPrime*(S23-S74)))-(($BB$18*(T17-T23))*(D17&lt;=$BB$4)))/Q17)</f>
        <v>0.38854705649992927</v>
      </c>
      <c r="Y17" s="4">
        <f t="shared" si="10"/>
        <v>38855</v>
      </c>
      <c r="Z17" s="2">
        <f t="shared" si="11"/>
        <v>0</v>
      </c>
      <c r="AA17" s="2">
        <f t="shared" si="12"/>
        <v>0.38854705649992927</v>
      </c>
      <c r="AB17" s="2">
        <f t="shared" si="13"/>
        <v>0.38854705649992927</v>
      </c>
      <c r="AC17" s="2">
        <f t="shared" si="14"/>
        <v>0.43788578891783131</v>
      </c>
      <c r="AD17" s="2">
        <f t="shared" si="15"/>
        <v>0.88732511155514937</v>
      </c>
      <c r="AF17" s="2">
        <f t="shared" si="16"/>
        <v>8.829675339999999E-3</v>
      </c>
      <c r="AG17" s="2">
        <f t="shared" si="32"/>
        <v>92790.658984022855</v>
      </c>
      <c r="AH17" s="2">
        <f t="shared" si="17"/>
        <v>5.6991672219999234E-3</v>
      </c>
      <c r="AI17" s="2">
        <f t="shared" si="18"/>
        <v>9.1692506710336439E-3</v>
      </c>
      <c r="AJ17" s="2">
        <f t="shared" si="33"/>
        <v>92465.069567153332</v>
      </c>
      <c r="AK17" s="2">
        <f t="shared" si="19"/>
        <v>497.26514149537849</v>
      </c>
      <c r="AL17" s="2">
        <f t="shared" si="20"/>
        <v>65670.472875481297</v>
      </c>
      <c r="AM17" s="2">
        <f t="shared" si="21"/>
        <v>65440.04439051111</v>
      </c>
      <c r="AN17" s="2">
        <f>SUM(AL17:AL63)</f>
        <v>1148314.9561315684</v>
      </c>
      <c r="AO17" s="2">
        <f>SUM(AM17:AM63)</f>
        <v>1135374.6040361086</v>
      </c>
      <c r="AP17" s="2">
        <f t="shared" si="22"/>
        <v>1</v>
      </c>
      <c r="AQ17" s="2">
        <f t="shared" si="23"/>
        <v>347.60976484238108</v>
      </c>
      <c r="AR17" s="2">
        <f>SUMPRODUCT(AP17:AP62,AQ17:AQ62)</f>
        <v>17934.648674480177</v>
      </c>
      <c r="AS17" s="2">
        <f>IF(AL17=0,0,((AR17+(betaPrime*(AN23-AN63)))-(($BC$18*(AO17-AO23))*(D17&lt;=$BC$4)))/AL17)</f>
        <v>0.2038731014181524</v>
      </c>
      <c r="AT17" s="4">
        <f t="shared" si="24"/>
        <v>20387</v>
      </c>
      <c r="AU17" s="2">
        <f t="shared" si="25"/>
        <v>0</v>
      </c>
      <c r="AV17" s="2">
        <f t="shared" si="26"/>
        <v>0.2038731014181524</v>
      </c>
      <c r="AW17" s="2">
        <f t="shared" si="27"/>
        <v>0.2038731014181524</v>
      </c>
      <c r="AX17" s="2">
        <f t="shared" si="28"/>
        <v>0.27287309542163496</v>
      </c>
      <c r="AY17" s="2">
        <f t="shared" si="29"/>
        <v>0.74713522453774373</v>
      </c>
      <c r="BA17" t="s">
        <v>66</v>
      </c>
      <c r="BB17" s="4">
        <f>$BB$16*($BB$6/100000)</f>
        <v>261000</v>
      </c>
      <c r="BC17" s="4">
        <f>$BC$16*($BC$6/100000)</f>
        <v>81000</v>
      </c>
      <c r="BD17" s="4">
        <f>SUM(BB17:BC17)</f>
        <v>342000</v>
      </c>
    </row>
    <row r="18" spans="4:56" x14ac:dyDescent="0.45">
      <c r="D18" s="1">
        <v>15</v>
      </c>
      <c r="E18" s="1">
        <f t="shared" si="0"/>
        <v>55</v>
      </c>
      <c r="F18" s="3">
        <v>3.81E-3</v>
      </c>
      <c r="G18" s="3">
        <v>3.59E-4</v>
      </c>
      <c r="H18" s="3">
        <v>5.8009999999999997E-3</v>
      </c>
      <c r="I18" s="3">
        <f t="shared" si="1"/>
        <v>0.69046555683898614</v>
      </c>
      <c r="J18" s="3">
        <f t="shared" si="2"/>
        <v>0.68199326595700616</v>
      </c>
      <c r="K18" s="2">
        <f t="shared" si="3"/>
        <v>4.168316105E-3</v>
      </c>
      <c r="L18" s="2">
        <f t="shared" si="30"/>
        <v>96723.723727609002</v>
      </c>
      <c r="M18" s="2">
        <f t="shared" si="4"/>
        <v>6.157917440999916E-3</v>
      </c>
      <c r="N18" s="2">
        <f t="shared" si="5"/>
        <v>9.9561866082748113E-3</v>
      </c>
      <c r="O18" s="2">
        <f t="shared" si="31"/>
        <v>91617.234165977541</v>
      </c>
      <c r="P18" s="2">
        <f t="shared" si="6"/>
        <v>403.17505534936322</v>
      </c>
      <c r="Q18" s="2">
        <f t="shared" si="7"/>
        <v>66784.399763123802</v>
      </c>
      <c r="R18" s="2">
        <f t="shared" si="8"/>
        <v>63258.544604459472</v>
      </c>
      <c r="S18" s="2">
        <f>SUM(Q18:Q74)</f>
        <v>1345041.9816028934</v>
      </c>
      <c r="T18" s="2">
        <f>SUM(R18:R74)</f>
        <v>1070087.1452153123</v>
      </c>
      <c r="U18" s="2">
        <f>1</f>
        <v>1</v>
      </c>
      <c r="V18" s="2">
        <f t="shared" si="9"/>
        <v>274.96267275010894</v>
      </c>
      <c r="W18" s="2">
        <f>SUMPRODUCT(U18:U73,V18:V73)</f>
        <v>34400.607097393418</v>
      </c>
      <c r="X18" s="2">
        <f>IF(Q18=0,0,((W18+(betaPrime*(S23-S74)))-(($BB$18*(T18-T23))*(D18&lt;=$BB$4)))/Q18)</f>
        <v>0.42035131522837932</v>
      </c>
      <c r="Y18" s="4">
        <f t="shared" si="10"/>
        <v>42035</v>
      </c>
      <c r="Z18" s="2">
        <f t="shared" si="11"/>
        <v>0</v>
      </c>
      <c r="AA18" s="2">
        <f t="shared" si="12"/>
        <v>0.42035131522837932</v>
      </c>
      <c r="AB18" s="2">
        <f t="shared" si="13"/>
        <v>0.42035131522837932</v>
      </c>
      <c r="AC18" s="2">
        <f t="shared" si="14"/>
        <v>0.46916334526910497</v>
      </c>
      <c r="AD18" s="2">
        <f t="shared" si="15"/>
        <v>0.89595941257361478</v>
      </c>
      <c r="AF18" s="2">
        <f t="shared" si="16"/>
        <v>9.5999490949999992E-3</v>
      </c>
      <c r="AG18" s="2">
        <f t="shared" si="32"/>
        <v>91971.347590609279</v>
      </c>
      <c r="AH18" s="2">
        <f t="shared" si="17"/>
        <v>6.157917440999916E-3</v>
      </c>
      <c r="AI18" s="2">
        <f t="shared" si="18"/>
        <v>9.9561866082748113E-3</v>
      </c>
      <c r="AJ18" s="2">
        <f t="shared" si="33"/>
        <v>91617.234165977541</v>
      </c>
      <c r="AK18" s="2">
        <f t="shared" si="19"/>
        <v>533.52578737312444</v>
      </c>
      <c r="AL18" s="2">
        <f t="shared" si="20"/>
        <v>63503.047727381985</v>
      </c>
      <c r="AM18" s="2">
        <f t="shared" si="21"/>
        <v>63258.544604459472</v>
      </c>
      <c r="AN18" s="2">
        <f>SUM(AL18:AL63)</f>
        <v>1082644.4832560874</v>
      </c>
      <c r="AO18" s="2">
        <f>SUM(AM18:AM63)</f>
        <v>1069934.5596455976</v>
      </c>
      <c r="AP18" s="2">
        <f t="shared" si="22"/>
        <v>1</v>
      </c>
      <c r="AQ18" s="2">
        <f t="shared" si="23"/>
        <v>363.86099420288036</v>
      </c>
      <c r="AR18" s="2">
        <f>SUMPRODUCT(AP18:AP62,AQ18:AQ62)</f>
        <v>17587.038909637798</v>
      </c>
      <c r="AS18" s="2">
        <f>IF(AL18=0,0,((AR18+(betaPrime*(AN23-AN63)))-(($BC$18*(AO18-AO23))*(D18&lt;=$BC$4)))/AL18)</f>
        <v>0.22060710986224899</v>
      </c>
      <c r="AT18" s="4">
        <f t="shared" si="24"/>
        <v>22061</v>
      </c>
      <c r="AU18" s="2">
        <f t="shared" si="25"/>
        <v>0</v>
      </c>
      <c r="AV18" s="2">
        <f t="shared" si="26"/>
        <v>0.22060710986224899</v>
      </c>
      <c r="AW18" s="2">
        <f t="shared" si="27"/>
        <v>0.22060710986224899</v>
      </c>
      <c r="AX18" s="2">
        <f t="shared" si="28"/>
        <v>0.29236403080889461</v>
      </c>
      <c r="AY18" s="2">
        <f t="shared" si="29"/>
        <v>0.75456310152752704</v>
      </c>
      <c r="BA18" t="s">
        <v>67</v>
      </c>
      <c r="BB18" s="3">
        <f>(($BB$10+(betaPrime*(S23-S74)))/(T3-T23))</f>
        <v>2.4948760596130305E-2</v>
      </c>
      <c r="BC18" s="3">
        <f>(($BC$10+(betaPrime*(AN23-AN63)))/(AO3-AO23))</f>
        <v>1.4798135052059517E-2</v>
      </c>
    </row>
    <row r="19" spans="4:56" x14ac:dyDescent="0.45">
      <c r="D19" s="1">
        <v>16</v>
      </c>
      <c r="E19" s="1">
        <f t="shared" si="0"/>
        <v>56</v>
      </c>
      <c r="F19" s="3">
        <v>4.1900000000000001E-3</v>
      </c>
      <c r="G19" s="3">
        <v>3.7500000000000001E-4</v>
      </c>
      <c r="H19" s="3">
        <v>6.293E-3</v>
      </c>
      <c r="I19" s="3">
        <f t="shared" si="1"/>
        <v>0.67362493350144981</v>
      </c>
      <c r="J19" s="3">
        <f t="shared" si="2"/>
        <v>0.66535928386049392</v>
      </c>
      <c r="K19" s="2">
        <f t="shared" si="3"/>
        <v>4.5642143750000003E-3</v>
      </c>
      <c r="L19" s="2">
        <f t="shared" si="30"/>
        <v>96320.54867225964</v>
      </c>
      <c r="M19" s="2">
        <f t="shared" si="4"/>
        <v>6.6656401250000386E-3</v>
      </c>
      <c r="N19" s="2">
        <f t="shared" si="5"/>
        <v>1.0841675608938162E-2</v>
      </c>
      <c r="O19" s="2">
        <f t="shared" si="31"/>
        <v>90705.075886087056</v>
      </c>
      <c r="P19" s="2">
        <f t="shared" si="6"/>
        <v>439.62763285781466</v>
      </c>
      <c r="Q19" s="2">
        <f t="shared" si="7"/>
        <v>64883.923194174058</v>
      </c>
      <c r="R19" s="2">
        <f t="shared" si="8"/>
        <v>61101.200712009348</v>
      </c>
      <c r="S19" s="2">
        <f>SUM(Q19:Q74)</f>
        <v>1278257.5818397698</v>
      </c>
      <c r="T19" s="2">
        <f>SUM(R19:R74)</f>
        <v>1006828.6006108528</v>
      </c>
      <c r="U19" s="2">
        <f>1</f>
        <v>1</v>
      </c>
      <c r="V19" s="2">
        <f t="shared" si="9"/>
        <v>292.51032696355969</v>
      </c>
      <c r="W19" s="2">
        <f>SUMPRODUCT(U19:U73,V19:V73)</f>
        <v>34125.644424643302</v>
      </c>
      <c r="X19" s="2">
        <f>IF(Q19=0,0,((W19+(betaPrime*(S23-S74)))-(($BB$18*(T19-T23))*(D19&lt;=$BB$4)))/Q19)</f>
        <v>0.45274959409437837</v>
      </c>
      <c r="Y19" s="4">
        <f t="shared" si="10"/>
        <v>45275</v>
      </c>
      <c r="Z19" s="2">
        <f t="shared" si="11"/>
        <v>0</v>
      </c>
      <c r="AA19" s="2">
        <f t="shared" si="12"/>
        <v>0.45274959409437837</v>
      </c>
      <c r="AB19" s="2">
        <f t="shared" si="13"/>
        <v>0.45274959409437837</v>
      </c>
      <c r="AC19" s="2">
        <f t="shared" si="14"/>
        <v>0.50044090162037858</v>
      </c>
      <c r="AD19" s="2">
        <f t="shared" si="15"/>
        <v>0.90470141954508432</v>
      </c>
      <c r="AF19" s="2">
        <f t="shared" si="16"/>
        <v>1.0469816165E-2</v>
      </c>
      <c r="AG19" s="2">
        <f t="shared" si="32"/>
        <v>91088.42733554088</v>
      </c>
      <c r="AH19" s="2">
        <f t="shared" si="17"/>
        <v>6.6656401250000386E-3</v>
      </c>
      <c r="AI19" s="2">
        <f t="shared" si="18"/>
        <v>1.0841675608938162E-2</v>
      </c>
      <c r="AJ19" s="2">
        <f t="shared" si="33"/>
        <v>90705.075886087056</v>
      </c>
      <c r="AK19" s="2">
        <f t="shared" si="19"/>
        <v>573.2194732225588</v>
      </c>
      <c r="AL19" s="2">
        <f t="shared" si="20"/>
        <v>61359.435806655369</v>
      </c>
      <c r="AM19" s="2">
        <f t="shared" si="21"/>
        <v>61101.200712009348</v>
      </c>
      <c r="AN19" s="2">
        <f>SUM(AL19:AL63)</f>
        <v>1019141.4355287052</v>
      </c>
      <c r="AO19" s="2">
        <f>SUM(AM19:AM63)</f>
        <v>1006676.0150411386</v>
      </c>
      <c r="AP19" s="2">
        <f t="shared" si="22"/>
        <v>1</v>
      </c>
      <c r="AQ19" s="2">
        <f t="shared" si="23"/>
        <v>381.39689819825128</v>
      </c>
      <c r="AR19" s="2">
        <f>SUMPRODUCT(AP19:AP62,AQ19:AQ62)</f>
        <v>17223.177915434921</v>
      </c>
      <c r="AS19" s="2">
        <f>IF(AL19=0,0,((AR19+(betaPrime*(AN23-AN63)))-(($BC$18*(AO19-AO23))*(D19&lt;=$BC$4)))/AL19)</f>
        <v>0.23764024435588524</v>
      </c>
      <c r="AT19" s="4">
        <f t="shared" si="24"/>
        <v>23764</v>
      </c>
      <c r="AU19" s="2">
        <f t="shared" si="25"/>
        <v>0</v>
      </c>
      <c r="AV19" s="2">
        <f t="shared" si="26"/>
        <v>0.23764024435588524</v>
      </c>
      <c r="AW19" s="2">
        <f t="shared" si="27"/>
        <v>0.23764024435588524</v>
      </c>
      <c r="AX19" s="2">
        <f t="shared" si="28"/>
        <v>0.31185496619615422</v>
      </c>
      <c r="AY19" s="2">
        <f t="shared" si="29"/>
        <v>0.76202167711003033</v>
      </c>
      <c r="BA19" t="s">
        <v>68</v>
      </c>
      <c r="BB19" s="3">
        <f>MIN((alphaS+($BB$7*ROUND($BB$13,5))),$BB$8)</f>
        <v>2.9630000000000004E-2</v>
      </c>
      <c r="BC19" s="3">
        <f>MIN((alphaS+($BC$7*ROUND($BC$13,5))),$BC$8)</f>
        <v>2.247E-2</v>
      </c>
    </row>
    <row r="20" spans="4:56" x14ac:dyDescent="0.45">
      <c r="D20" s="1">
        <v>17</v>
      </c>
      <c r="E20" s="1">
        <f t="shared" si="0"/>
        <v>57</v>
      </c>
      <c r="F20" s="3">
        <v>4.6299999999999996E-3</v>
      </c>
      <c r="G20" s="3">
        <v>3.8900000000000002E-4</v>
      </c>
      <c r="H20" s="3">
        <v>6.8519999999999996E-3</v>
      </c>
      <c r="I20" s="3">
        <f t="shared" si="1"/>
        <v>0.65719505707458525</v>
      </c>
      <c r="J20" s="3">
        <f t="shared" si="2"/>
        <v>0.64913100864438433</v>
      </c>
      <c r="K20" s="2">
        <f t="shared" si="3"/>
        <v>5.0180994649999993E-3</v>
      </c>
      <c r="L20" s="2">
        <f t="shared" si="30"/>
        <v>95880.92103940183</v>
      </c>
      <c r="M20" s="2">
        <f t="shared" si="4"/>
        <v>7.2383345719999603E-3</v>
      </c>
      <c r="N20" s="2">
        <f t="shared" si="5"/>
        <v>1.1851577827465778E-2</v>
      </c>
      <c r="O20" s="2">
        <f t="shared" si="31"/>
        <v>89721.680877245992</v>
      </c>
      <c r="P20" s="2">
        <f t="shared" si="6"/>
        <v>481.13999857152947</v>
      </c>
      <c r="Q20" s="2">
        <f t="shared" si="7"/>
        <v>63012.467374853484</v>
      </c>
      <c r="R20" s="2">
        <f t="shared" si="8"/>
        <v>58964.645184949404</v>
      </c>
      <c r="S20" s="2">
        <f>SUM(Q20:Q74)</f>
        <v>1213373.6586455959</v>
      </c>
      <c r="T20" s="2">
        <f>SUM(R20:R74)</f>
        <v>945727.39989884337</v>
      </c>
      <c r="U20" s="2">
        <f>1</f>
        <v>1</v>
      </c>
      <c r="V20" s="2">
        <f t="shared" si="9"/>
        <v>312.32289257189456</v>
      </c>
      <c r="W20" s="2">
        <f>SUMPRODUCT(U20:U73,V20:V73)</f>
        <v>33833.134097679744</v>
      </c>
      <c r="X20" s="2">
        <f>IF(Q20=0,0,((W20+(betaPrime*(S23-S74)))-(($BB$18*(T20-T23))*(D20&lt;=$BB$4)))/Q20)</f>
        <v>0.48574607639256512</v>
      </c>
      <c r="Y20" s="4">
        <f t="shared" si="10"/>
        <v>48575</v>
      </c>
      <c r="Z20" s="2">
        <f t="shared" si="11"/>
        <v>0</v>
      </c>
      <c r="AA20" s="2">
        <f t="shared" si="12"/>
        <v>0.48574607639256512</v>
      </c>
      <c r="AB20" s="2">
        <f t="shared" si="13"/>
        <v>0.48574607639256512</v>
      </c>
      <c r="AC20" s="2">
        <f t="shared" si="14"/>
        <v>0.53171845797165229</v>
      </c>
      <c r="AD20" s="2">
        <f t="shared" si="15"/>
        <v>0.91353999303605493</v>
      </c>
      <c r="AF20" s="2">
        <f t="shared" si="16"/>
        <v>1.1466137619999999E-2</v>
      </c>
      <c r="AG20" s="2">
        <f t="shared" si="32"/>
        <v>90134.748246578805</v>
      </c>
      <c r="AH20" s="2">
        <f t="shared" si="17"/>
        <v>7.2383345719999603E-3</v>
      </c>
      <c r="AI20" s="2">
        <f t="shared" si="18"/>
        <v>1.1851577827465778E-2</v>
      </c>
      <c r="AJ20" s="2">
        <f t="shared" si="33"/>
        <v>89721.680877245992</v>
      </c>
      <c r="AK20" s="2">
        <f t="shared" si="19"/>
        <v>617.60329498555791</v>
      </c>
      <c r="AL20" s="2">
        <f t="shared" si="20"/>
        <v>59236.111018313728</v>
      </c>
      <c r="AM20" s="2">
        <f t="shared" si="21"/>
        <v>58964.645184949404</v>
      </c>
      <c r="AN20" s="2">
        <f>SUM(AL20:AL63)</f>
        <v>957781.99972204992</v>
      </c>
      <c r="AO20" s="2">
        <f>SUM(AM20:AM63)</f>
        <v>945574.81432912918</v>
      </c>
      <c r="AP20" s="2">
        <f t="shared" si="22"/>
        <v>1</v>
      </c>
      <c r="AQ20" s="2">
        <f t="shared" si="23"/>
        <v>400.90544981607042</v>
      </c>
      <c r="AR20" s="2">
        <f>SUMPRODUCT(AP20:AP62,AQ20:AQ62)</f>
        <v>16841.781017236666</v>
      </c>
      <c r="AS20" s="2">
        <f>IF(AL20=0,0,((AR20+(betaPrime*(AN23-AN63)))-(($BC$18*(AO20-AO23))*(D20&lt;=$BC$4)))/AL20)</f>
        <v>0.25498396131616718</v>
      </c>
      <c r="AT20" s="4">
        <f t="shared" si="24"/>
        <v>25498</v>
      </c>
      <c r="AU20" s="2">
        <f t="shared" si="25"/>
        <v>0</v>
      </c>
      <c r="AV20" s="2">
        <f t="shared" si="26"/>
        <v>0.25498396131616718</v>
      </c>
      <c r="AW20" s="2">
        <f t="shared" si="27"/>
        <v>0.25498396131616718</v>
      </c>
      <c r="AX20" s="2">
        <f t="shared" si="28"/>
        <v>0.33134590158341387</v>
      </c>
      <c r="AY20" s="2">
        <f t="shared" si="29"/>
        <v>0.76954010928659955</v>
      </c>
    </row>
    <row r="21" spans="4:56" x14ac:dyDescent="0.45">
      <c r="D21" s="1">
        <v>18</v>
      </c>
      <c r="E21" s="1">
        <f t="shared" si="0"/>
        <v>58</v>
      </c>
      <c r="F21" s="3">
        <v>5.1399999999999996E-3</v>
      </c>
      <c r="G21" s="3">
        <v>4.0200000000000001E-4</v>
      </c>
      <c r="H21" s="3">
        <v>7.4830000000000001E-3</v>
      </c>
      <c r="I21" s="3">
        <f t="shared" si="1"/>
        <v>0.64116590934105877</v>
      </c>
      <c r="J21" s="3">
        <f t="shared" si="2"/>
        <v>0.63329854501891159</v>
      </c>
      <c r="K21" s="2">
        <f t="shared" si="3"/>
        <v>5.5409668599999996E-3</v>
      </c>
      <c r="L21" s="2">
        <f t="shared" si="30"/>
        <v>95399.781040830305</v>
      </c>
      <c r="M21" s="2">
        <f t="shared" si="4"/>
        <v>7.8819918340000683E-3</v>
      </c>
      <c r="N21" s="2">
        <f t="shared" si="5"/>
        <v>1.3001735114986687E-2</v>
      </c>
      <c r="O21" s="2">
        <f t="shared" si="31"/>
        <v>88658.337393518261</v>
      </c>
      <c r="P21" s="2">
        <f t="shared" si="6"/>
        <v>528.60702519849701</v>
      </c>
      <c r="Q21" s="2">
        <f t="shared" si="7"/>
        <v>61167.087361981859</v>
      </c>
      <c r="R21" s="2">
        <f t="shared" si="8"/>
        <v>56844.703515581532</v>
      </c>
      <c r="S21" s="2">
        <f>SUM(Q21:Q74)</f>
        <v>1150361.1912707426</v>
      </c>
      <c r="T21" s="2">
        <f>SUM(R21:R74)</f>
        <v>886762.75471389398</v>
      </c>
      <c r="U21" s="2">
        <f>1</f>
        <v>1</v>
      </c>
      <c r="V21" s="2">
        <f t="shared" si="9"/>
        <v>334.76605994498328</v>
      </c>
      <c r="W21" s="2">
        <f>SUMPRODUCT(U21:U73,V21:V73)</f>
        <v>33520.81120510785</v>
      </c>
      <c r="X21" s="2">
        <f>IF(Q21=0,0,((W21+(betaPrime*(S23-S74)))-(($BB$18*(T21-T23))*(D21&lt;=$BB$4)))/Q21)</f>
        <v>0.5193451590548892</v>
      </c>
      <c r="Y21" s="4">
        <f t="shared" si="10"/>
        <v>51935</v>
      </c>
      <c r="Z21" s="2">
        <f t="shared" si="11"/>
        <v>0</v>
      </c>
      <c r="AA21" s="2">
        <f t="shared" si="12"/>
        <v>0.5193451590548892</v>
      </c>
      <c r="AB21" s="2">
        <f t="shared" si="13"/>
        <v>0.5193451590548892</v>
      </c>
      <c r="AC21" s="2">
        <f t="shared" si="14"/>
        <v>0.56299601432292601</v>
      </c>
      <c r="AD21" s="2">
        <f t="shared" si="15"/>
        <v>0.92246684850774208</v>
      </c>
      <c r="AF21" s="2">
        <f t="shared" si="16"/>
        <v>1.2603768689999999E-2</v>
      </c>
      <c r="AG21" s="2">
        <f t="shared" si="32"/>
        <v>89101.250818839471</v>
      </c>
      <c r="AH21" s="2">
        <f t="shared" si="17"/>
        <v>7.8819918340000683E-3</v>
      </c>
      <c r="AI21" s="2">
        <f t="shared" si="18"/>
        <v>1.3001735114986687E-2</v>
      </c>
      <c r="AJ21" s="2">
        <f t="shared" si="33"/>
        <v>88658.337393518261</v>
      </c>
      <c r="AK21" s="2">
        <f t="shared" si="19"/>
        <v>666.74465987737574</v>
      </c>
      <c r="AL21" s="2">
        <f t="shared" si="20"/>
        <v>57128.684504686964</v>
      </c>
      <c r="AM21" s="2">
        <f t="shared" si="21"/>
        <v>56844.703515581532</v>
      </c>
      <c r="AN21" s="2">
        <f>SUM(AL21:AL63)</f>
        <v>898545.88870373613</v>
      </c>
      <c r="AO21" s="2">
        <f>SUM(AM21:AM63)</f>
        <v>886610.16914417979</v>
      </c>
      <c r="AP21" s="2">
        <f t="shared" si="22"/>
        <v>1</v>
      </c>
      <c r="AQ21" s="2">
        <f t="shared" si="23"/>
        <v>422.24842299947113</v>
      </c>
      <c r="AR21" s="2">
        <f>SUMPRODUCT(AP21:AP62,AQ21:AQ62)</f>
        <v>16440.875567420593</v>
      </c>
      <c r="AS21" s="2">
        <f>IF(AL21=0,0,((AR21+(betaPrime*(AN23-AN63)))-(($BC$18*(AO21-AO23))*(D21&lt;=$BC$4)))/AL21)</f>
        <v>0.27264621456605725</v>
      </c>
      <c r="AT21" s="4">
        <f t="shared" si="24"/>
        <v>27265</v>
      </c>
      <c r="AU21" s="2">
        <f t="shared" si="25"/>
        <v>0</v>
      </c>
      <c r="AV21" s="2">
        <f t="shared" si="26"/>
        <v>0.27264621456605725</v>
      </c>
      <c r="AW21" s="2">
        <f t="shared" si="27"/>
        <v>0.27264621456605725</v>
      </c>
      <c r="AX21" s="2">
        <f t="shared" si="28"/>
        <v>0.35083683697067353</v>
      </c>
      <c r="AY21" s="2">
        <f t="shared" si="29"/>
        <v>0.77713109296116412</v>
      </c>
      <c r="BA21" t="s">
        <v>69</v>
      </c>
    </row>
    <row r="22" spans="4:56" x14ac:dyDescent="0.45">
      <c r="D22" s="1">
        <v>19</v>
      </c>
      <c r="E22" s="1">
        <f t="shared" si="0"/>
        <v>59</v>
      </c>
      <c r="F22" s="3">
        <v>5.7099999999999998E-3</v>
      </c>
      <c r="G22" s="3">
        <v>4.17E-4</v>
      </c>
      <c r="H22" s="3">
        <v>8.1810000000000008E-3</v>
      </c>
      <c r="I22" s="3">
        <f t="shared" si="1"/>
        <v>0.62552771643030136</v>
      </c>
      <c r="J22" s="3">
        <f t="shared" si="2"/>
        <v>0.6178522390428407</v>
      </c>
      <c r="K22" s="2">
        <f t="shared" si="3"/>
        <v>6.1258094649999997E-3</v>
      </c>
      <c r="L22" s="2">
        <f t="shared" si="30"/>
        <v>94871.174015631797</v>
      </c>
      <c r="M22" s="2">
        <f t="shared" si="4"/>
        <v>8.5945885229999908E-3</v>
      </c>
      <c r="N22" s="2">
        <f t="shared" si="5"/>
        <v>1.4280050972766826E-2</v>
      </c>
      <c r="O22" s="2">
        <f t="shared" si="31"/>
        <v>87505.625174992616</v>
      </c>
      <c r="P22" s="2">
        <f t="shared" si="6"/>
        <v>581.16273574061927</v>
      </c>
      <c r="Q22" s="2">
        <f t="shared" si="7"/>
        <v>59344.548837059905</v>
      </c>
      <c r="R22" s="2">
        <f t="shared" si="8"/>
        <v>54737.193890519018</v>
      </c>
      <c r="S22" s="2">
        <f>SUM(Q22:Q74)</f>
        <v>1089194.1039087609</v>
      </c>
      <c r="T22" s="2">
        <f>SUM(R22:R74)</f>
        <v>829918.05119831243</v>
      </c>
      <c r="U22" s="2">
        <f>1</f>
        <v>1</v>
      </c>
      <c r="V22" s="2">
        <f t="shared" si="9"/>
        <v>359.07269752560438</v>
      </c>
      <c r="W22" s="2">
        <f>SUMPRODUCT(U22:U73,V22:V73)</f>
        <v>33186.045145162876</v>
      </c>
      <c r="X22" s="2">
        <f>IF(Q22=0,0,((W22+(betaPrime*(S23-S74)))-(($BB$18*(T22-T23))*(D22&lt;=$BB$4)))/Q22)</f>
        <v>0.55355159316067604</v>
      </c>
      <c r="Y22" s="4">
        <f t="shared" si="10"/>
        <v>55355</v>
      </c>
      <c r="Z22" s="2">
        <f t="shared" si="11"/>
        <v>0</v>
      </c>
      <c r="AA22" s="2">
        <f t="shared" si="12"/>
        <v>0.55355159316067604</v>
      </c>
      <c r="AB22" s="2">
        <f t="shared" si="13"/>
        <v>0.55355159316067604</v>
      </c>
      <c r="AC22" s="2">
        <f t="shared" si="14"/>
        <v>0.59427357067419961</v>
      </c>
      <c r="AD22" s="2">
        <f t="shared" si="15"/>
        <v>0.93147604146803176</v>
      </c>
      <c r="AF22" s="2">
        <f t="shared" si="16"/>
        <v>1.3867643245E-2</v>
      </c>
      <c r="AG22" s="2">
        <f t="shared" si="32"/>
        <v>87978.239263529147</v>
      </c>
      <c r="AH22" s="2">
        <f t="shared" si="17"/>
        <v>8.5945885229999908E-3</v>
      </c>
      <c r="AI22" s="2">
        <f t="shared" si="18"/>
        <v>1.4280050972766826E-2</v>
      </c>
      <c r="AJ22" s="2">
        <f t="shared" si="33"/>
        <v>87505.625174992616</v>
      </c>
      <c r="AK22" s="2">
        <f t="shared" si="19"/>
        <v>719.74997541493201</v>
      </c>
      <c r="AL22" s="2">
        <f t="shared" si="20"/>
        <v>55032.827102074065</v>
      </c>
      <c r="AM22" s="2">
        <f t="shared" si="21"/>
        <v>54737.193890519018</v>
      </c>
      <c r="AN22" s="2">
        <f>SUM(AL22:AL63)</f>
        <v>841417.20419904904</v>
      </c>
      <c r="AO22" s="2">
        <f>SUM(AM22:AM63)</f>
        <v>829765.46562859823</v>
      </c>
      <c r="AP22" s="2">
        <f t="shared" si="22"/>
        <v>1</v>
      </c>
      <c r="AQ22" s="2">
        <f t="shared" si="23"/>
        <v>444.6991338611453</v>
      </c>
      <c r="AR22" s="2">
        <f>SUMPRODUCT(AP22:AP62,AQ22:AQ62)</f>
        <v>16018.627144421125</v>
      </c>
      <c r="AS22" s="2">
        <f>IF(AL22=0,0,((AR22+(betaPrime*(AN23-AN63)))-(($BC$18*(AO22-AO23))*(D22&lt;=$BC$4)))/AL22)</f>
        <v>0.29064228738045428</v>
      </c>
      <c r="AT22" s="4">
        <f t="shared" si="24"/>
        <v>29064</v>
      </c>
      <c r="AU22" s="2">
        <f t="shared" si="25"/>
        <v>0</v>
      </c>
      <c r="AV22" s="2">
        <f t="shared" si="26"/>
        <v>0.29064228738045428</v>
      </c>
      <c r="AW22" s="2">
        <f t="shared" si="27"/>
        <v>0.29064228738045428</v>
      </c>
      <c r="AX22" s="2">
        <f t="shared" si="28"/>
        <v>0.37032777235793313</v>
      </c>
      <c r="AY22" s="2">
        <f t="shared" si="29"/>
        <v>0.78482444222287384</v>
      </c>
    </row>
    <row r="23" spans="4:56" x14ac:dyDescent="0.45">
      <c r="D23" s="1">
        <v>20</v>
      </c>
      <c r="E23" s="1">
        <f t="shared" si="0"/>
        <v>60</v>
      </c>
      <c r="F23" s="3">
        <v>6.3299999999999997E-3</v>
      </c>
      <c r="G23" s="3">
        <v>5.1699999999999999E-4</v>
      </c>
      <c r="H23" s="3">
        <v>8.9300000000000004E-3</v>
      </c>
      <c r="I23" s="3">
        <f t="shared" si="1"/>
        <v>0.61027094285883055</v>
      </c>
      <c r="J23" s="3">
        <f t="shared" si="2"/>
        <v>0.60278267223691773</v>
      </c>
      <c r="K23" s="2">
        <f t="shared" si="3"/>
        <v>6.8453636949999995E-3</v>
      </c>
      <c r="L23" s="2">
        <f t="shared" si="30"/>
        <v>94290.011279891187</v>
      </c>
      <c r="M23" s="2">
        <f t="shared" si="4"/>
        <v>9.4423831900000144E-3</v>
      </c>
      <c r="N23" s="2">
        <f t="shared" si="5"/>
        <v>1.5742498047203662E-2</v>
      </c>
      <c r="O23" s="2">
        <f t="shared" si="31"/>
        <v>86256.040387089888</v>
      </c>
      <c r="P23" s="2">
        <f t="shared" si="6"/>
        <v>645.44942001650759</v>
      </c>
      <c r="Q23" s="2">
        <f t="shared" si="7"/>
        <v>57542.454085948964</v>
      </c>
      <c r="R23" s="2">
        <f t="shared" si="8"/>
        <v>52639.55509429871</v>
      </c>
      <c r="S23" s="2">
        <f>SUM(Q23:Q74)</f>
        <v>1029849.5550717009</v>
      </c>
      <c r="T23" s="2">
        <f>SUM(R23:R74)</f>
        <v>775180.85730779346</v>
      </c>
      <c r="U23" s="2">
        <f>1</f>
        <v>1</v>
      </c>
      <c r="V23" s="2">
        <f t="shared" si="9"/>
        <v>389.06572619131913</v>
      </c>
      <c r="W23" s="2">
        <f>SUMPRODUCT(U23:U73,V23:V73)</f>
        <v>32826.972447637265</v>
      </c>
      <c r="X23" s="2">
        <f>IF(Q23=0,0,((W23+(betaPrime*(S23-S74)))-(($BB$18*(T23-T23))*(D23&lt;=$BB$4)))/Q23)</f>
        <v>0.58837987605009545</v>
      </c>
      <c r="Y23" s="4">
        <f t="shared" si="10"/>
        <v>58838</v>
      </c>
      <c r="Z23" s="2">
        <f t="shared" si="11"/>
        <v>0</v>
      </c>
      <c r="AA23" s="2">
        <f t="shared" si="12"/>
        <v>0.58837987605009545</v>
      </c>
      <c r="AB23" s="2">
        <f t="shared" si="13"/>
        <v>0.58837987605009545</v>
      </c>
      <c r="AC23" s="2">
        <f t="shared" si="14"/>
        <v>0.62555112702547333</v>
      </c>
      <c r="AD23" s="2">
        <f t="shared" si="15"/>
        <v>0.94057839660184284</v>
      </c>
      <c r="AF23" s="2">
        <f t="shared" si="16"/>
        <v>1.523173655E-2</v>
      </c>
      <c r="AG23" s="2">
        <f t="shared" si="32"/>
        <v>86758.188428099267</v>
      </c>
      <c r="AH23" s="2">
        <f t="shared" si="17"/>
        <v>9.4423831900000144E-3</v>
      </c>
      <c r="AI23" s="2">
        <f t="shared" si="18"/>
        <v>1.5742498047203662E-2</v>
      </c>
      <c r="AJ23" s="2">
        <f t="shared" si="33"/>
        <v>86256.040387089888</v>
      </c>
      <c r="AK23" s="2">
        <f t="shared" si="19"/>
        <v>774.7506226629265</v>
      </c>
      <c r="AL23" s="2">
        <f t="shared" si="20"/>
        <v>52946.001452740224</v>
      </c>
      <c r="AM23" s="2">
        <f t="shared" si="21"/>
        <v>52639.55509429871</v>
      </c>
      <c r="AN23" s="2">
        <f>SUM(AL23:AL63)</f>
        <v>786384.37709697511</v>
      </c>
      <c r="AO23" s="2">
        <f>SUM(AM23:AM63)</f>
        <v>775028.27173807926</v>
      </c>
      <c r="AP23" s="2">
        <f t="shared" si="22"/>
        <v>1</v>
      </c>
      <c r="AQ23" s="2">
        <f t="shared" si="23"/>
        <v>467.00625064597477</v>
      </c>
      <c r="AR23" s="2">
        <f>SUMPRODUCT(AP23:AP62,AQ23:AQ62)</f>
        <v>15573.928010559981</v>
      </c>
      <c r="AS23" s="2">
        <f>IF(AL23=0,0,((AR23+(betaPrime*(AN23-AN63)))-(($BC$18*(AO23-AO23))*(D23&lt;=$BC$4)))/AL23)</f>
        <v>0.30899738516164493</v>
      </c>
      <c r="AT23" s="4">
        <f t="shared" si="24"/>
        <v>30900</v>
      </c>
      <c r="AU23" s="2">
        <f t="shared" si="25"/>
        <v>0</v>
      </c>
      <c r="AV23" s="2">
        <f t="shared" si="26"/>
        <v>0.30899738516164493</v>
      </c>
      <c r="AW23" s="2">
        <f t="shared" si="27"/>
        <v>0.30899738516164493</v>
      </c>
      <c r="AX23" s="2">
        <f t="shared" si="28"/>
        <v>0.38981870774519278</v>
      </c>
      <c r="AY23" s="2">
        <f t="shared" si="29"/>
        <v>0.79266946152728723</v>
      </c>
    </row>
    <row r="24" spans="4:56" x14ac:dyDescent="0.45">
      <c r="D24" s="1">
        <v>21</v>
      </c>
      <c r="E24" s="1">
        <f t="shared" si="0"/>
        <v>61</v>
      </c>
      <c r="F24" s="3">
        <v>7.0000000000000001E-3</v>
      </c>
      <c r="G24" s="3">
        <v>5.31E-4</v>
      </c>
      <c r="H24" s="3">
        <v>9.724E-3</v>
      </c>
      <c r="I24" s="3">
        <f t="shared" si="1"/>
        <v>0.59538628571593233</v>
      </c>
      <c r="J24" s="3">
        <f t="shared" si="2"/>
        <v>0.58808065584089542</v>
      </c>
      <c r="K24" s="2">
        <f t="shared" si="3"/>
        <v>7.5291415000000002E-3</v>
      </c>
      <c r="L24" s="2">
        <f t="shared" si="30"/>
        <v>93644.561859874681</v>
      </c>
      <c r="M24" s="2">
        <f t="shared" si="4"/>
        <v>1.0249836555999869E-2</v>
      </c>
      <c r="N24" s="2">
        <f t="shared" si="5"/>
        <v>1.7213962128053869E-2</v>
      </c>
      <c r="O24" s="2">
        <f t="shared" si="31"/>
        <v>84898.154839736613</v>
      </c>
      <c r="P24" s="2">
        <f t="shared" si="6"/>
        <v>705.06315694849968</v>
      </c>
      <c r="Q24" s="2">
        <f t="shared" si="7"/>
        <v>55754.687863246647</v>
      </c>
      <c r="R24" s="2">
        <f t="shared" si="8"/>
        <v>50547.197074166885</v>
      </c>
      <c r="S24" s="2">
        <f>SUM(Q24:Q74)</f>
        <v>972307.10098575207</v>
      </c>
      <c r="T24" s="2">
        <f>SUM(R24:R74)</f>
        <v>722541.30221349478</v>
      </c>
      <c r="U24" s="2">
        <f>1</f>
        <v>1</v>
      </c>
      <c r="V24" s="2">
        <f t="shared" si="9"/>
        <v>414.63400374752587</v>
      </c>
      <c r="W24" s="2">
        <f>SUMPRODUCT(U24:U73,V24:V73)</f>
        <v>32437.906721445943</v>
      </c>
      <c r="X24" s="2">
        <f>IF(Q24=0,0,((W24+(betaPrime*(S24-S74)))-(($BB$18*(T24-T23))*(D24&lt;=$BB$4)))/Q24)</f>
        <v>0.59923595849696476</v>
      </c>
      <c r="Y24" s="4">
        <f t="shared" si="10"/>
        <v>59924</v>
      </c>
      <c r="Z24" s="2">
        <f t="shared" si="11"/>
        <v>0</v>
      </c>
      <c r="AA24" s="2">
        <f t="shared" si="12"/>
        <v>0.59923595849696476</v>
      </c>
      <c r="AB24" s="2">
        <f t="shared" si="13"/>
        <v>0.59923595849696476</v>
      </c>
      <c r="AC24" s="2">
        <f t="shared" si="14"/>
        <v>0.62555112702547333</v>
      </c>
      <c r="AD24" s="2">
        <f t="shared" si="15"/>
        <v>0.95793282532534385</v>
      </c>
      <c r="AF24" s="2">
        <f t="shared" si="16"/>
        <v>1.6689966000000001E-2</v>
      </c>
      <c r="AG24" s="2">
        <f t="shared" si="32"/>
        <v>85436.710558407198</v>
      </c>
      <c r="AH24" s="2">
        <f t="shared" si="17"/>
        <v>1.0249836555999869E-2</v>
      </c>
      <c r="AI24" s="2">
        <f t="shared" si="18"/>
        <v>1.7213962128053869E-2</v>
      </c>
      <c r="AJ24" s="2">
        <f t="shared" si="33"/>
        <v>84898.154839736613</v>
      </c>
      <c r="AK24" s="2">
        <f t="shared" si="19"/>
        <v>830.78657346995158</v>
      </c>
      <c r="AL24" s="2">
        <f t="shared" si="20"/>
        <v>50867.845763157238</v>
      </c>
      <c r="AM24" s="2">
        <f t="shared" si="21"/>
        <v>50547.197074166885</v>
      </c>
      <c r="AN24" s="2">
        <f>SUM(AL24:AL63)</f>
        <v>733438.37564423482</v>
      </c>
      <c r="AO24" s="2">
        <f>SUM(AM24:AM63)</f>
        <v>722388.71664378059</v>
      </c>
      <c r="AP24" s="2">
        <f t="shared" si="22"/>
        <v>1</v>
      </c>
      <c r="AQ24" s="2">
        <f t="shared" si="23"/>
        <v>488.56951299001935</v>
      </c>
      <c r="AR24" s="2">
        <f>SUMPRODUCT(AP24:AP62,AQ24:AQ62)</f>
        <v>15106.921759914005</v>
      </c>
      <c r="AS24" s="2">
        <f>IF(AL24=0,0,((AR24+(betaPrime*(AN24-AN63)))-(($BC$18*(AO24-AO23))*(D24&lt;=$BC$4)))/AL24)</f>
        <v>0.31139953960927291</v>
      </c>
      <c r="AT24" s="4">
        <f t="shared" si="24"/>
        <v>31140</v>
      </c>
      <c r="AU24" s="2">
        <f t="shared" si="25"/>
        <v>0</v>
      </c>
      <c r="AV24" s="2">
        <f t="shared" si="26"/>
        <v>0.31139953960927291</v>
      </c>
      <c r="AW24" s="2">
        <f t="shared" si="27"/>
        <v>0.31139953960927291</v>
      </c>
      <c r="AX24" s="2">
        <f t="shared" si="28"/>
        <v>0.38981870774519278</v>
      </c>
      <c r="AY24" s="2">
        <f t="shared" si="29"/>
        <v>0.79883169643264273</v>
      </c>
    </row>
    <row r="25" spans="4:56" x14ac:dyDescent="0.45">
      <c r="D25" s="1">
        <v>22</v>
      </c>
      <c r="E25" s="1">
        <f t="shared" si="0"/>
        <v>62</v>
      </c>
      <c r="F25" s="3">
        <v>7.7200000000000003E-3</v>
      </c>
      <c r="G25" s="3">
        <v>5.44E-4</v>
      </c>
      <c r="H25" s="3">
        <v>1.057E-2</v>
      </c>
      <c r="I25" s="3">
        <f t="shared" si="1"/>
        <v>0.58086466899115352</v>
      </c>
      <c r="J25" s="3">
        <f t="shared" si="2"/>
        <v>0.57373722521062975</v>
      </c>
      <c r="K25" s="2">
        <f t="shared" si="3"/>
        <v>8.2619001600000002E-3</v>
      </c>
      <c r="L25" s="2">
        <f t="shared" si="30"/>
        <v>92939.498702926183</v>
      </c>
      <c r="M25" s="2">
        <f t="shared" si="4"/>
        <v>1.1108249919999924E-2</v>
      </c>
      <c r="N25" s="2">
        <f t="shared" si="5"/>
        <v>1.8785372075308726E-2</v>
      </c>
      <c r="O25" s="2">
        <f t="shared" si="31"/>
        <v>83436.721217583734</v>
      </c>
      <c r="P25" s="2">
        <f t="shared" si="6"/>
        <v>767.85685920402568</v>
      </c>
      <c r="Q25" s="2">
        <f t="shared" si="7"/>
        <v>53985.271150278961</v>
      </c>
      <c r="R25" s="2">
        <f t="shared" si="8"/>
        <v>48465.443451758932</v>
      </c>
      <c r="S25" s="2">
        <f>SUM(Q25:Q74)</f>
        <v>916552.41312250542</v>
      </c>
      <c r="T25" s="2">
        <f>SUM(R25:R74)</f>
        <v>671994.10513932793</v>
      </c>
      <c r="U25" s="2">
        <f>1</f>
        <v>1</v>
      </c>
      <c r="V25" s="2">
        <f t="shared" si="9"/>
        <v>440.5480637586669</v>
      </c>
      <c r="W25" s="2">
        <f>SUMPRODUCT(U25:U73,V25:V73)</f>
        <v>32023.272717698419</v>
      </c>
      <c r="X25" s="2">
        <f>IF(Q25=0,0,((W25+(betaPrime*(S25-S74)))-(($BB$18*(T25-T23))*(D25&lt;=$BB$4)))/Q25)</f>
        <v>0.61016318764290789</v>
      </c>
      <c r="Y25" s="4">
        <f t="shared" si="10"/>
        <v>61016</v>
      </c>
      <c r="Z25" s="2">
        <f t="shared" si="11"/>
        <v>0</v>
      </c>
      <c r="AA25" s="2">
        <f t="shared" si="12"/>
        <v>0.61016318764290789</v>
      </c>
      <c r="AB25" s="2">
        <f t="shared" si="13"/>
        <v>0.61016318764290789</v>
      </c>
      <c r="AC25" s="2">
        <f t="shared" si="14"/>
        <v>0.62555112702547333</v>
      </c>
      <c r="AD25" s="2">
        <f t="shared" si="15"/>
        <v>0.97540098847597656</v>
      </c>
      <c r="AF25" s="2">
        <f t="shared" si="16"/>
        <v>1.8249199800000001E-2</v>
      </c>
      <c r="AG25" s="2">
        <f t="shared" si="32"/>
        <v>84010.774764035552</v>
      </c>
      <c r="AH25" s="2">
        <f t="shared" si="17"/>
        <v>1.1108249919999924E-2</v>
      </c>
      <c r="AI25" s="2">
        <f t="shared" si="18"/>
        <v>1.8785372075308726E-2</v>
      </c>
      <c r="AJ25" s="2">
        <f t="shared" si="33"/>
        <v>83436.721217583734</v>
      </c>
      <c r="AK25" s="2">
        <f t="shared" si="19"/>
        <v>887.99388925585572</v>
      </c>
      <c r="AL25" s="2">
        <f t="shared" si="20"/>
        <v>48798.890875001867</v>
      </c>
      <c r="AM25" s="2">
        <f t="shared" si="21"/>
        <v>48465.443451758932</v>
      </c>
      <c r="AN25" s="2">
        <f>SUM(AL25:AL63)</f>
        <v>682570.5298810777</v>
      </c>
      <c r="AO25" s="2">
        <f>SUM(AM25:AM63)</f>
        <v>671841.51956961374</v>
      </c>
      <c r="AP25" s="2">
        <f t="shared" si="22"/>
        <v>1</v>
      </c>
      <c r="AQ25" s="2">
        <f t="shared" si="23"/>
        <v>509.4751500256499</v>
      </c>
      <c r="AR25" s="2">
        <f>SUMPRODUCT(AP25:AP62,AQ25:AQ62)</f>
        <v>14618.352246923985</v>
      </c>
      <c r="AS25" s="2">
        <f>IF(AL25=0,0,((AR25+(betaPrime*(AN25-AN63)))-(($BC$18*(AO25-AO23))*(D25&lt;=$BC$4)))/AL25)</f>
        <v>0.31354783107678375</v>
      </c>
      <c r="AT25" s="4">
        <f t="shared" si="24"/>
        <v>31355</v>
      </c>
      <c r="AU25" s="2">
        <f t="shared" si="25"/>
        <v>0</v>
      </c>
      <c r="AV25" s="2">
        <f t="shared" si="26"/>
        <v>0.31354783107678375</v>
      </c>
      <c r="AW25" s="2">
        <f t="shared" si="27"/>
        <v>0.31354783107678375</v>
      </c>
      <c r="AX25" s="2">
        <f t="shared" si="28"/>
        <v>0.38981870774519278</v>
      </c>
      <c r="AY25" s="2">
        <f t="shared" si="29"/>
        <v>0.80434269789262158</v>
      </c>
    </row>
    <row r="26" spans="4:56" x14ac:dyDescent="0.45">
      <c r="D26" s="1">
        <v>23</v>
      </c>
      <c r="E26" s="1">
        <f t="shared" si="0"/>
        <v>63</v>
      </c>
      <c r="F26" s="3">
        <v>8.4799999999999997E-3</v>
      </c>
      <c r="G26" s="3">
        <v>5.62E-4</v>
      </c>
      <c r="H26" s="3">
        <v>1.1464999999999999E-2</v>
      </c>
      <c r="I26" s="3">
        <f t="shared" si="1"/>
        <v>0.56669723804014993</v>
      </c>
      <c r="J26" s="3">
        <f t="shared" si="2"/>
        <v>0.55974363435183394</v>
      </c>
      <c r="K26" s="2">
        <f t="shared" si="3"/>
        <v>9.0396171199999993E-3</v>
      </c>
      <c r="L26" s="2">
        <f t="shared" si="30"/>
        <v>92171.641843722158</v>
      </c>
      <c r="M26" s="2">
        <f t="shared" si="4"/>
        <v>1.2020556669999904E-2</v>
      </c>
      <c r="N26" s="2">
        <f t="shared" si="5"/>
        <v>2.0449589509719108E-2</v>
      </c>
      <c r="O26" s="2">
        <f t="shared" si="31"/>
        <v>81869.331364767611</v>
      </c>
      <c r="P26" s="2">
        <f t="shared" si="6"/>
        <v>833.19635158901917</v>
      </c>
      <c r="Q26" s="2">
        <f t="shared" si="7"/>
        <v>52233.414858463257</v>
      </c>
      <c r="R26" s="2">
        <f t="shared" si="8"/>
        <v>46395.123964607621</v>
      </c>
      <c r="S26" s="2">
        <f>SUM(Q26:Q74)</f>
        <v>862567.14197222644</v>
      </c>
      <c r="T26" s="2">
        <f>SUM(R26:R74)</f>
        <v>623528.66168756888</v>
      </c>
      <c r="U26" s="2">
        <f>1</f>
        <v>1</v>
      </c>
      <c r="V26" s="2">
        <f t="shared" si="9"/>
        <v>466.37635396712602</v>
      </c>
      <c r="W26" s="2">
        <f>SUMPRODUCT(U26:U73,V26:V73)</f>
        <v>31582.724653939753</v>
      </c>
      <c r="X26" s="2">
        <f>IF(Q26=0,0,((W26+(betaPrime*(S26-S74)))-(($BB$18*(T26-T23))*(D26&lt;=$BB$4)))/Q26)</f>
        <v>0.62115969028310514</v>
      </c>
      <c r="Y26" s="4">
        <f t="shared" si="10"/>
        <v>62116</v>
      </c>
      <c r="Z26" s="2">
        <f t="shared" si="11"/>
        <v>0</v>
      </c>
      <c r="AA26" s="2">
        <f t="shared" si="12"/>
        <v>0.62115969028310514</v>
      </c>
      <c r="AB26" s="2">
        <f t="shared" si="13"/>
        <v>0.62115969028310514</v>
      </c>
      <c r="AC26" s="2">
        <f t="shared" si="14"/>
        <v>0.62555112702547333</v>
      </c>
      <c r="AD26" s="2">
        <f t="shared" si="15"/>
        <v>0.99297989156657795</v>
      </c>
      <c r="AF26" s="2">
        <f t="shared" si="16"/>
        <v>1.9896388399999996E-2</v>
      </c>
      <c r="AG26" s="2">
        <f t="shared" si="32"/>
        <v>82477.645350013874</v>
      </c>
      <c r="AH26" s="2">
        <f t="shared" si="17"/>
        <v>1.2020556669999904E-2</v>
      </c>
      <c r="AI26" s="2">
        <f t="shared" si="18"/>
        <v>2.0449589509719108E-2</v>
      </c>
      <c r="AJ26" s="2">
        <f t="shared" si="33"/>
        <v>81869.331364767611</v>
      </c>
      <c r="AK26" s="2">
        <f t="shared" si="19"/>
        <v>945.60620393790907</v>
      </c>
      <c r="AL26" s="2">
        <f t="shared" si="20"/>
        <v>46739.853819907876</v>
      </c>
      <c r="AM26" s="2">
        <f t="shared" si="21"/>
        <v>46395.123964607621</v>
      </c>
      <c r="AN26" s="2">
        <f>SUM(AL26:AL63)</f>
        <v>633771.6390060758</v>
      </c>
      <c r="AO26" s="2">
        <f>SUM(AM26:AM63)</f>
        <v>623376.07611785468</v>
      </c>
      <c r="AP26" s="2">
        <f t="shared" si="22"/>
        <v>1</v>
      </c>
      <c r="AQ26" s="2">
        <f t="shared" si="23"/>
        <v>529.29705325784664</v>
      </c>
      <c r="AR26" s="2">
        <f>SUMPRODUCT(AP26:AP62,AQ26:AQ62)</f>
        <v>14108.877096898335</v>
      </c>
      <c r="AS26" s="2">
        <f>IF(AL26=0,0,((AR26+(betaPrime*(AN26-AN63)))-(($BC$18*(AO26-AO23))*(D26&lt;=$BC$4)))/AL26)</f>
        <v>0.3154163127833654</v>
      </c>
      <c r="AT26" s="4">
        <f t="shared" si="24"/>
        <v>31542</v>
      </c>
      <c r="AU26" s="2">
        <f t="shared" si="25"/>
        <v>0</v>
      </c>
      <c r="AV26" s="2">
        <f t="shared" si="26"/>
        <v>0.3154163127833654</v>
      </c>
      <c r="AW26" s="2">
        <f t="shared" si="27"/>
        <v>0.3154163127833654</v>
      </c>
      <c r="AX26" s="2">
        <f t="shared" si="28"/>
        <v>0.38981870774519278</v>
      </c>
      <c r="AY26" s="2">
        <f t="shared" si="29"/>
        <v>0.80913590475893493</v>
      </c>
    </row>
    <row r="27" spans="4:56" x14ac:dyDescent="0.45">
      <c r="D27" s="1">
        <v>24</v>
      </c>
      <c r="E27" s="1">
        <f t="shared" si="0"/>
        <v>64</v>
      </c>
      <c r="F27" s="3">
        <v>9.2800000000000001E-3</v>
      </c>
      <c r="G27" s="3">
        <v>5.9000000000000003E-4</v>
      </c>
      <c r="H27" s="3">
        <v>1.2409E-2</v>
      </c>
      <c r="I27" s="3">
        <f t="shared" si="1"/>
        <v>0.55287535418551204</v>
      </c>
      <c r="J27" s="3">
        <f t="shared" si="2"/>
        <v>0.54609135058715519</v>
      </c>
      <c r="K27" s="2">
        <f t="shared" si="3"/>
        <v>9.8672624E-3</v>
      </c>
      <c r="L27" s="2">
        <f t="shared" si="30"/>
        <v>91338.445492133134</v>
      </c>
      <c r="M27" s="2">
        <f t="shared" si="4"/>
        <v>1.2991678689999953E-2</v>
      </c>
      <c r="N27" s="2">
        <f t="shared" si="5"/>
        <v>2.2211397300878354E-2</v>
      </c>
      <c r="O27" s="2">
        <f t="shared" si="31"/>
        <v>80195.137144922948</v>
      </c>
      <c r="P27" s="2">
        <f t="shared" si="6"/>
        <v>901.26040887897477</v>
      </c>
      <c r="Q27" s="2">
        <f t="shared" si="7"/>
        <v>50498.775402217194</v>
      </c>
      <c r="R27" s="2">
        <f t="shared" si="8"/>
        <v>44337.914852954986</v>
      </c>
      <c r="S27" s="2">
        <f>SUM(Q27:Q74)</f>
        <v>810333.72711376299</v>
      </c>
      <c r="T27" s="2">
        <f>SUM(R27:R74)</f>
        <v>577133.53772296128</v>
      </c>
      <c r="U27" s="2">
        <f>1</f>
        <v>1</v>
      </c>
      <c r="V27" s="2">
        <f t="shared" si="9"/>
        <v>492.17051391545107</v>
      </c>
      <c r="W27" s="2">
        <f>SUMPRODUCT(U27:U73,V27:V73)</f>
        <v>31116.348299972626</v>
      </c>
      <c r="X27" s="2">
        <f>IF(Q27=0,0,((W27+(betaPrime*(S27-S74)))-(($BB$18*(T27-T23))*(D27&lt;=$BB$4)))/Q27)</f>
        <v>0.63222685644936694</v>
      </c>
      <c r="Y27" s="4">
        <f t="shared" si="10"/>
        <v>63223</v>
      </c>
      <c r="Z27" s="2">
        <f t="shared" si="11"/>
        <v>0</v>
      </c>
      <c r="AA27" s="2">
        <f t="shared" si="12"/>
        <v>0.63222685644936694</v>
      </c>
      <c r="AB27" s="2">
        <f t="shared" si="13"/>
        <v>0.63222685644936694</v>
      </c>
      <c r="AC27" s="2">
        <f t="shared" si="14"/>
        <v>0.62555112702547333</v>
      </c>
      <c r="AD27" s="2">
        <f t="shared" si="15"/>
        <v>1.0106717566885972</v>
      </c>
      <c r="AF27" s="2">
        <f t="shared" si="16"/>
        <v>2.163142224E-2</v>
      </c>
      <c r="AG27" s="2">
        <f t="shared" si="32"/>
        <v>80836.638083812548</v>
      </c>
      <c r="AH27" s="2">
        <f t="shared" si="17"/>
        <v>1.2991678689999953E-2</v>
      </c>
      <c r="AI27" s="2">
        <f t="shared" si="18"/>
        <v>2.2211397300878354E-2</v>
      </c>
      <c r="AJ27" s="2">
        <f t="shared" si="33"/>
        <v>80195.137144922948</v>
      </c>
      <c r="AK27" s="2">
        <f t="shared" si="19"/>
        <v>1003.1018419820299</v>
      </c>
      <c r="AL27" s="2">
        <f t="shared" si="20"/>
        <v>44692.584911753911</v>
      </c>
      <c r="AM27" s="2">
        <f t="shared" si="21"/>
        <v>44337.914852954986</v>
      </c>
      <c r="AN27" s="2">
        <f>SUM(AL27:AL63)</f>
        <v>587031.78518616804</v>
      </c>
      <c r="AO27" s="2">
        <f>SUM(AM27:AM63)</f>
        <v>576980.95215324708</v>
      </c>
      <c r="AP27" s="2">
        <f t="shared" si="22"/>
        <v>1</v>
      </c>
      <c r="AQ27" s="2">
        <f t="shared" si="23"/>
        <v>547.78523966442981</v>
      </c>
      <c r="AR27" s="2">
        <f>SUMPRODUCT(AP27:AP62,AQ27:AQ62)</f>
        <v>13579.58004364049</v>
      </c>
      <c r="AS27" s="2">
        <f>IF(AL27=0,0,((AR27+(betaPrime*(AN27-AN63)))-(($BC$18*(AO27-AO23))*(D27&lt;=$BC$4)))/AL27)</f>
        <v>0.31697596979013354</v>
      </c>
      <c r="AT27" s="4">
        <f t="shared" si="24"/>
        <v>31698</v>
      </c>
      <c r="AU27" s="2">
        <f t="shared" si="25"/>
        <v>0</v>
      </c>
      <c r="AV27" s="2">
        <f t="shared" si="26"/>
        <v>0.31697596979013354</v>
      </c>
      <c r="AW27" s="2">
        <f t="shared" si="27"/>
        <v>0.31697596979013354</v>
      </c>
      <c r="AX27" s="2">
        <f t="shared" si="28"/>
        <v>0.38981870774519278</v>
      </c>
      <c r="AY27" s="2">
        <f t="shared" si="29"/>
        <v>0.81313688515258919</v>
      </c>
    </row>
    <row r="28" spans="4:56" x14ac:dyDescent="0.45">
      <c r="D28" s="1">
        <v>25</v>
      </c>
      <c r="E28" s="1">
        <f t="shared" si="0"/>
        <v>65</v>
      </c>
      <c r="F28" s="3">
        <v>1.0149999999999999E-2</v>
      </c>
      <c r="G28" s="3">
        <v>6.29E-4</v>
      </c>
      <c r="H28" s="3">
        <v>1.3401E-2</v>
      </c>
      <c r="I28" s="3">
        <f t="shared" si="1"/>
        <v>0.53939058944928009</v>
      </c>
      <c r="J28" s="3">
        <f t="shared" si="2"/>
        <v>0.53277204935332212</v>
      </c>
      <c r="K28" s="2">
        <f t="shared" si="3"/>
        <v>1.0775807824999999E-2</v>
      </c>
      <c r="L28" s="2">
        <f t="shared" si="30"/>
        <v>90437.185083254153</v>
      </c>
      <c r="M28" s="2">
        <f t="shared" si="4"/>
        <v>1.4021570770999969E-2</v>
      </c>
      <c r="N28" s="2">
        <f t="shared" si="5"/>
        <v>2.4100411299337144E-2</v>
      </c>
      <c r="O28" s="2">
        <f t="shared" si="31"/>
        <v>78413.891092198639</v>
      </c>
      <c r="P28" s="2">
        <f t="shared" si="6"/>
        <v>974.53372669110331</v>
      </c>
      <c r="Q28" s="2">
        <f t="shared" si="7"/>
        <v>48780.966570190096</v>
      </c>
      <c r="R28" s="2">
        <f t="shared" si="8"/>
        <v>42295.714937232675</v>
      </c>
      <c r="S28" s="2">
        <f>SUM(Q28:Q74)</f>
        <v>759834.95171154605</v>
      </c>
      <c r="T28" s="2">
        <f>SUM(R28:R74)</f>
        <v>532795.62287000613</v>
      </c>
      <c r="U28" s="2">
        <f>1</f>
        <v>1</v>
      </c>
      <c r="V28" s="2">
        <f t="shared" si="9"/>
        <v>519.20433073314939</v>
      </c>
      <c r="W28" s="2">
        <f>SUMPRODUCT(U28:U73,V28:V73)</f>
        <v>30624.177786057175</v>
      </c>
      <c r="X28" s="2">
        <f>IF(Q28=0,0,((W28+(betaPrime*(S28-S74)))-(($BB$18*(T28-T23))*(D28&lt;=$BB$4)))/Q28)</f>
        <v>0.64336594668764513</v>
      </c>
      <c r="Y28" s="4">
        <f t="shared" si="10"/>
        <v>64337</v>
      </c>
      <c r="Z28" s="2">
        <f t="shared" si="11"/>
        <v>0</v>
      </c>
      <c r="AA28" s="2">
        <f t="shared" si="12"/>
        <v>0.64336594668764513</v>
      </c>
      <c r="AB28" s="2">
        <f t="shared" si="13"/>
        <v>0.64336594668764513</v>
      </c>
      <c r="AC28" s="2">
        <f t="shared" si="14"/>
        <v>0.62555112702547333</v>
      </c>
      <c r="AD28" s="2">
        <f t="shared" si="15"/>
        <v>1.0284785989386385</v>
      </c>
      <c r="AF28" s="2">
        <f t="shared" si="16"/>
        <v>2.3482989924999999E-2</v>
      </c>
      <c r="AG28" s="2">
        <f t="shared" si="32"/>
        <v>79088.026632959532</v>
      </c>
      <c r="AH28" s="2">
        <f t="shared" si="17"/>
        <v>1.4021570770999969E-2</v>
      </c>
      <c r="AI28" s="2">
        <f t="shared" si="18"/>
        <v>2.4100411299337144E-2</v>
      </c>
      <c r="AJ28" s="2">
        <f t="shared" si="33"/>
        <v>78413.891092198639</v>
      </c>
      <c r="AK28" s="2">
        <f t="shared" si="19"/>
        <v>1059.8586449082907</v>
      </c>
      <c r="AL28" s="2">
        <f t="shared" si="20"/>
        <v>42659.337303932407</v>
      </c>
      <c r="AM28" s="2">
        <f t="shared" si="21"/>
        <v>42295.714937232675</v>
      </c>
      <c r="AN28" s="2">
        <f>SUM(AL28:AL63)</f>
        <v>542339.20027441403</v>
      </c>
      <c r="AO28" s="2">
        <f>SUM(AM28:AM63)</f>
        <v>532643.03730029194</v>
      </c>
      <c r="AP28" s="2">
        <f t="shared" si="22"/>
        <v>1</v>
      </c>
      <c r="AQ28" s="2">
        <f t="shared" si="23"/>
        <v>564.66306227262498</v>
      </c>
      <c r="AR28" s="2">
        <f>SUMPRODUCT(AP28:AP62,AQ28:AQ62)</f>
        <v>13031.794803976059</v>
      </c>
      <c r="AS28" s="2">
        <f>IF(AL28=0,0,((AR28+(betaPrime*(AN28-AN63)))-(($BC$18*(AO28-AO23))*(D28&lt;=$BC$4)))/AL28)</f>
        <v>0.31819522941824102</v>
      </c>
      <c r="AT28" s="4">
        <f t="shared" si="24"/>
        <v>31820</v>
      </c>
      <c r="AU28" s="2">
        <f t="shared" si="25"/>
        <v>0</v>
      </c>
      <c r="AV28" s="2">
        <f t="shared" si="26"/>
        <v>0.31819522941824102</v>
      </c>
      <c r="AW28" s="2">
        <f t="shared" si="27"/>
        <v>0.31819522941824102</v>
      </c>
      <c r="AX28" s="2">
        <f t="shared" si="28"/>
        <v>0.38981870774519278</v>
      </c>
      <c r="AY28" s="2">
        <f t="shared" si="29"/>
        <v>0.81626464583693392</v>
      </c>
    </row>
    <row r="29" spans="4:56" x14ac:dyDescent="0.45">
      <c r="D29" s="1">
        <v>26</v>
      </c>
      <c r="E29" s="1">
        <f t="shared" si="0"/>
        <v>66</v>
      </c>
      <c r="F29" s="3">
        <v>1.116E-2</v>
      </c>
      <c r="G29" s="3">
        <v>6.8099999999999996E-4</v>
      </c>
      <c r="H29" s="3">
        <v>1.4453000000000001E-2</v>
      </c>
      <c r="I29" s="3">
        <f t="shared" si="1"/>
        <v>0.52623472141393179</v>
      </c>
      <c r="J29" s="3">
        <f t="shared" si="2"/>
        <v>0.51977760912519244</v>
      </c>
      <c r="K29" s="2">
        <f t="shared" si="3"/>
        <v>1.1837200019999999E-2</v>
      </c>
      <c r="L29" s="2">
        <f t="shared" si="30"/>
        <v>89462.651356563045</v>
      </c>
      <c r="M29" s="2">
        <f t="shared" si="4"/>
        <v>1.5124157507000136E-2</v>
      </c>
      <c r="N29" s="2">
        <f t="shared" si="5"/>
        <v>2.6199764708111074E-2</v>
      </c>
      <c r="O29" s="2">
        <f t="shared" si="31"/>
        <v>76524.084065295217</v>
      </c>
      <c r="P29" s="2">
        <f t="shared" si="6"/>
        <v>1058.987298427161</v>
      </c>
      <c r="Q29" s="2">
        <f t="shared" si="7"/>
        <v>47078.353413572659</v>
      </c>
      <c r="R29" s="2">
        <f t="shared" si="8"/>
        <v>40269.630059556926</v>
      </c>
      <c r="S29" s="2">
        <f>SUM(Q29:Q74)</f>
        <v>711053.98514135578</v>
      </c>
      <c r="T29" s="2">
        <f>SUM(R29:R74)</f>
        <v>490499.90793277329</v>
      </c>
      <c r="U29" s="2">
        <f>1</f>
        <v>1</v>
      </c>
      <c r="V29" s="2">
        <f t="shared" si="9"/>
        <v>550.43788607041643</v>
      </c>
      <c r="W29" s="2">
        <f>SUMPRODUCT(U29:U73,V29:V73)</f>
        <v>30104.973455324027</v>
      </c>
      <c r="X29" s="2">
        <f>IF(Q29=0,0,((W29+(betaPrime*(S29-S74)))-(($BB$18*(T29-T23))*(D29&lt;=$BB$4)))/Q29)</f>
        <v>0.65456893043292252</v>
      </c>
      <c r="Y29" s="4">
        <f t="shared" si="10"/>
        <v>65457</v>
      </c>
      <c r="Z29" s="2">
        <f t="shared" si="11"/>
        <v>0</v>
      </c>
      <c r="AA29" s="2">
        <f t="shared" si="12"/>
        <v>0.65456893043292252</v>
      </c>
      <c r="AB29" s="2">
        <f t="shared" si="13"/>
        <v>0.65456893043292252</v>
      </c>
      <c r="AC29" s="2">
        <f t="shared" si="14"/>
        <v>0.62555112702547333</v>
      </c>
      <c r="AD29" s="2">
        <f t="shared" si="15"/>
        <v>1.0463875807328975</v>
      </c>
      <c r="AF29" s="2">
        <f t="shared" si="16"/>
        <v>2.5532352260000002E-2</v>
      </c>
      <c r="AG29" s="2">
        <f t="shared" si="32"/>
        <v>77230.803300349609</v>
      </c>
      <c r="AH29" s="2">
        <f t="shared" si="17"/>
        <v>1.5124157507000136E-2</v>
      </c>
      <c r="AI29" s="2">
        <f t="shared" si="18"/>
        <v>2.6199764708111074E-2</v>
      </c>
      <c r="AJ29" s="2">
        <f t="shared" si="33"/>
        <v>76524.084065295217</v>
      </c>
      <c r="AK29" s="2">
        <f t="shared" si="19"/>
        <v>1116.2168000999529</v>
      </c>
      <c r="AL29" s="2">
        <f t="shared" si="20"/>
        <v>40641.530259333638</v>
      </c>
      <c r="AM29" s="2">
        <f t="shared" si="21"/>
        <v>40269.630059556926</v>
      </c>
      <c r="AN29" s="2">
        <f>SUM(AL29:AL63)</f>
        <v>499679.86297048151</v>
      </c>
      <c r="AO29" s="2">
        <f>SUM(AM29:AM63)</f>
        <v>490347.32236305898</v>
      </c>
      <c r="AP29" s="2">
        <f t="shared" si="22"/>
        <v>1</v>
      </c>
      <c r="AQ29" s="2">
        <f t="shared" si="23"/>
        <v>580.18449962132638</v>
      </c>
      <c r="AR29" s="2">
        <f>SUMPRODUCT(AP29:AP62,AQ29:AQ62)</f>
        <v>12467.131741703433</v>
      </c>
      <c r="AS29" s="2">
        <f>IF(AL29=0,0,((AR29+(betaPrime*(AN29-AN63)))-(($BC$18*(AO29-AO23))*(D29&lt;=$BC$4)))/AL29)</f>
        <v>0.31904987676246382</v>
      </c>
      <c r="AT29" s="4">
        <f t="shared" si="24"/>
        <v>31905</v>
      </c>
      <c r="AU29" s="2">
        <f t="shared" si="25"/>
        <v>0</v>
      </c>
      <c r="AV29" s="2">
        <f t="shared" si="26"/>
        <v>0.31904987676246382</v>
      </c>
      <c r="AW29" s="2">
        <f t="shared" si="27"/>
        <v>0.31904987676246382</v>
      </c>
      <c r="AX29" s="2">
        <f t="shared" si="28"/>
        <v>0.38981870774519278</v>
      </c>
      <c r="AY29" s="2">
        <f t="shared" si="29"/>
        <v>0.81845706843554722</v>
      </c>
    </row>
    <row r="30" spans="4:56" x14ac:dyDescent="0.45">
      <c r="D30" s="1">
        <v>27</v>
      </c>
      <c r="E30" s="1">
        <f t="shared" si="0"/>
        <v>67</v>
      </c>
      <c r="F30" s="3">
        <v>1.24E-2</v>
      </c>
      <c r="G30" s="3">
        <v>7.3999999999999999E-4</v>
      </c>
      <c r="H30" s="3">
        <v>1.5585E-2</v>
      </c>
      <c r="I30" s="3">
        <f t="shared" si="1"/>
        <v>0.51339972820871405</v>
      </c>
      <c r="J30" s="3">
        <f t="shared" si="2"/>
        <v>0.50710010646360237</v>
      </c>
      <c r="K30" s="2">
        <f t="shared" si="3"/>
        <v>1.3135411999999999E-2</v>
      </c>
      <c r="L30" s="2">
        <f t="shared" si="30"/>
        <v>88403.664058135881</v>
      </c>
      <c r="M30" s="2">
        <f t="shared" si="4"/>
        <v>1.6313467099999923E-2</v>
      </c>
      <c r="N30" s="2">
        <f t="shared" si="5"/>
        <v>2.8612323603979924E-2</v>
      </c>
      <c r="O30" s="2">
        <f t="shared" si="31"/>
        <v>74519.171068280775</v>
      </c>
      <c r="P30" s="2">
        <f t="shared" si="6"/>
        <v>1161.2185497132066</v>
      </c>
      <c r="Q30" s="2">
        <f t="shared" si="7"/>
        <v>45386.417100101426</v>
      </c>
      <c r="R30" s="2">
        <f t="shared" si="8"/>
        <v>38258.122172794014</v>
      </c>
      <c r="S30" s="2">
        <f>SUM(Q30:Q74)</f>
        <v>663975.63172778313</v>
      </c>
      <c r="T30" s="2">
        <f>SUM(R30:R74)</f>
        <v>450230.27787321631</v>
      </c>
      <c r="U30" s="2">
        <f>1</f>
        <v>1</v>
      </c>
      <c r="V30" s="2">
        <f t="shared" si="9"/>
        <v>588.85405018707695</v>
      </c>
      <c r="W30" s="2">
        <f>SUMPRODUCT(U30:U73,V30:V73)</f>
        <v>29554.535569253618</v>
      </c>
      <c r="X30" s="2">
        <f>IF(Q30=0,0,((W30+(betaPrime*(S30-S74)))-(($BB$18*(T30-T23))*(D30&lt;=$BB$4)))/Q30)</f>
        <v>0.66580517105664794</v>
      </c>
      <c r="Y30" s="4">
        <f t="shared" si="10"/>
        <v>66581</v>
      </c>
      <c r="Z30" s="2">
        <f t="shared" si="11"/>
        <v>0</v>
      </c>
      <c r="AA30" s="2">
        <f t="shared" si="12"/>
        <v>0.66580517105664794</v>
      </c>
      <c r="AB30" s="2">
        <f t="shared" si="13"/>
        <v>0.66580517105664794</v>
      </c>
      <c r="AC30" s="2">
        <f t="shared" si="14"/>
        <v>0.62555112702547333</v>
      </c>
      <c r="AD30" s="2">
        <f t="shared" si="15"/>
        <v>1.0643497266523754</v>
      </c>
      <c r="AF30" s="2">
        <f t="shared" si="16"/>
        <v>2.7888373000000001E-2</v>
      </c>
      <c r="AG30" s="2">
        <f t="shared" si="32"/>
        <v>75258.919225162317</v>
      </c>
      <c r="AH30" s="2">
        <f t="shared" si="17"/>
        <v>1.6313467099999923E-2</v>
      </c>
      <c r="AI30" s="2">
        <f t="shared" si="18"/>
        <v>2.8612323603979924E-2</v>
      </c>
      <c r="AJ30" s="2">
        <f t="shared" si="33"/>
        <v>74519.171068280775</v>
      </c>
      <c r="AK30" s="2">
        <f t="shared" si="19"/>
        <v>1172.9102561241548</v>
      </c>
      <c r="AL30" s="2">
        <f t="shared" si="20"/>
        <v>38637.908675479899</v>
      </c>
      <c r="AM30" s="2">
        <f t="shared" si="21"/>
        <v>38258.122172794014</v>
      </c>
      <c r="AN30" s="2">
        <f>SUM(AL30:AL63)</f>
        <v>459038.33271114784</v>
      </c>
      <c r="AO30" s="2">
        <f>SUM(AM30:AM63)</f>
        <v>450077.692303502</v>
      </c>
      <c r="AP30" s="2">
        <f t="shared" si="22"/>
        <v>1</v>
      </c>
      <c r="AQ30" s="2">
        <f t="shared" si="23"/>
        <v>594.78291575281003</v>
      </c>
      <c r="AR30" s="2">
        <f>SUMPRODUCT(AP30:AP62,AQ30:AQ62)</f>
        <v>11886.947242082108</v>
      </c>
      <c r="AS30" s="2">
        <f>IF(AL30=0,0,((AR30+(betaPrime*(AN30-AN63)))-(($BC$18*(AO30-AO23))*(D30&lt;=$BC$4)))/AL30)</f>
        <v>0.31952684847646823</v>
      </c>
      <c r="AT30" s="4">
        <f t="shared" si="24"/>
        <v>31953</v>
      </c>
      <c r="AU30" s="2">
        <f t="shared" si="25"/>
        <v>0</v>
      </c>
      <c r="AV30" s="2">
        <f t="shared" si="26"/>
        <v>0.31952684847646823</v>
      </c>
      <c r="AW30" s="2">
        <f t="shared" si="27"/>
        <v>0.31952684847646823</v>
      </c>
      <c r="AX30" s="2">
        <f t="shared" si="28"/>
        <v>0.38981870774519278</v>
      </c>
      <c r="AY30" s="2">
        <f t="shared" si="29"/>
        <v>0.81968064161078891</v>
      </c>
    </row>
    <row r="31" spans="4:56" x14ac:dyDescent="0.45">
      <c r="D31" s="1">
        <v>28</v>
      </c>
      <c r="E31" s="1">
        <f t="shared" si="0"/>
        <v>68</v>
      </c>
      <c r="F31" s="3">
        <v>1.391E-2</v>
      </c>
      <c r="G31" s="3">
        <v>8.0500000000000005E-4</v>
      </c>
      <c r="H31" s="3">
        <v>1.6808E-2</v>
      </c>
      <c r="I31" s="3">
        <f t="shared" si="1"/>
        <v>0.50087778361825763</v>
      </c>
      <c r="J31" s="3">
        <f t="shared" si="2"/>
        <v>0.49473181118400233</v>
      </c>
      <c r="K31" s="2">
        <f t="shared" si="3"/>
        <v>1.4709401225E-2</v>
      </c>
      <c r="L31" s="2">
        <f t="shared" si="30"/>
        <v>87242.445508422679</v>
      </c>
      <c r="M31" s="2">
        <f t="shared" si="4"/>
        <v>1.7599469560000025E-2</v>
      </c>
      <c r="N31" s="2">
        <f t="shared" si="5"/>
        <v>3.1387065249210221E-2</v>
      </c>
      <c r="O31" s="2">
        <f t="shared" si="31"/>
        <v>72387.00443097479</v>
      </c>
      <c r="P31" s="2">
        <f t="shared" si="6"/>
        <v>1283.2841348335883</v>
      </c>
      <c r="Q31" s="2">
        <f t="shared" si="7"/>
        <v>43697.802743695371</v>
      </c>
      <c r="R31" s="2">
        <f t="shared" si="8"/>
        <v>36257.042342151646</v>
      </c>
      <c r="S31" s="2">
        <f>SUM(Q31:Q74)</f>
        <v>618589.21462768165</v>
      </c>
      <c r="T31" s="2">
        <f>SUM(R31:R74)</f>
        <v>411972.1557004223</v>
      </c>
      <c r="U31" s="2">
        <f>1</f>
        <v>1</v>
      </c>
      <c r="V31" s="2">
        <f t="shared" si="9"/>
        <v>634.88148428991656</v>
      </c>
      <c r="W31" s="2">
        <f>SUMPRODUCT(U31:U73,V31:V73)</f>
        <v>28965.681519066537</v>
      </c>
      <c r="X31" s="2">
        <f>IF(Q31=0,0,((W31+(betaPrime*(S31-S74)))-(($BB$18*(T31-T23))*(D31&lt;=$BB$4)))/Q31)</f>
        <v>0.6770196411754954</v>
      </c>
      <c r="Y31" s="4">
        <f t="shared" si="10"/>
        <v>67702</v>
      </c>
      <c r="Z31" s="2">
        <f t="shared" si="11"/>
        <v>0</v>
      </c>
      <c r="AA31" s="2">
        <f t="shared" si="12"/>
        <v>0.6770196411754954</v>
      </c>
      <c r="AB31" s="2">
        <f t="shared" si="13"/>
        <v>0.6770196411754954</v>
      </c>
      <c r="AC31" s="2">
        <f t="shared" si="14"/>
        <v>0.62555112702547333</v>
      </c>
      <c r="AD31" s="2">
        <f t="shared" si="15"/>
        <v>1.0822770704526701</v>
      </c>
      <c r="AF31" s="2">
        <f t="shared" si="16"/>
        <v>3.0601100360000001E-2</v>
      </c>
      <c r="AG31" s="2">
        <f t="shared" si="32"/>
        <v>73160.070414234113</v>
      </c>
      <c r="AH31" s="2">
        <f t="shared" si="17"/>
        <v>1.7599469560000025E-2</v>
      </c>
      <c r="AI31" s="2">
        <f t="shared" si="18"/>
        <v>3.1387065249210221E-2</v>
      </c>
      <c r="AJ31" s="2">
        <f t="shared" si="33"/>
        <v>72387.00443097479</v>
      </c>
      <c r="AK31" s="2">
        <f t="shared" si="19"/>
        <v>1229.674463522447</v>
      </c>
      <c r="AL31" s="2">
        <f t="shared" si="20"/>
        <v>36644.253918437244</v>
      </c>
      <c r="AM31" s="2">
        <f t="shared" si="21"/>
        <v>36257.042342151646</v>
      </c>
      <c r="AN31" s="2">
        <f>SUM(AL31:AL63)</f>
        <v>420400.42403566802</v>
      </c>
      <c r="AO31" s="2">
        <f>SUM(AM31:AM63)</f>
        <v>411819.57013070799</v>
      </c>
      <c r="AP31" s="2">
        <f t="shared" si="22"/>
        <v>1</v>
      </c>
      <c r="AQ31" s="2">
        <f t="shared" si="23"/>
        <v>608.35907450517664</v>
      </c>
      <c r="AR31" s="2">
        <f>SUMPRODUCT(AP31:AP62,AQ31:AQ62)</f>
        <v>11292.164326329299</v>
      </c>
      <c r="AS31" s="2">
        <f>IF(AL31=0,0,((AR31+(betaPrime*(AN31-AN63)))-(($BC$18*(AO31-AO23))*(D31&lt;=$BC$4)))/AL31)</f>
        <v>0.31962523762767581</v>
      </c>
      <c r="AT31" s="4">
        <f t="shared" si="24"/>
        <v>31963</v>
      </c>
      <c r="AU31" s="2">
        <f t="shared" si="25"/>
        <v>0</v>
      </c>
      <c r="AV31" s="2">
        <f t="shared" si="26"/>
        <v>0.31962523762767581</v>
      </c>
      <c r="AW31" s="2">
        <f t="shared" si="27"/>
        <v>0.31962523762767581</v>
      </c>
      <c r="AX31" s="2">
        <f t="shared" si="28"/>
        <v>0.38981870774519278</v>
      </c>
      <c r="AY31" s="2">
        <f t="shared" si="29"/>
        <v>0.81993303881300805</v>
      </c>
    </row>
    <row r="32" spans="4:56" x14ac:dyDescent="0.45">
      <c r="D32" s="1">
        <v>29</v>
      </c>
      <c r="E32" s="1">
        <f t="shared" si="0"/>
        <v>69</v>
      </c>
      <c r="F32" s="3">
        <v>1.5650000000000001E-2</v>
      </c>
      <c r="G32" s="3">
        <v>8.7000000000000001E-4</v>
      </c>
      <c r="H32" s="3">
        <v>1.8114999999999999E-2</v>
      </c>
      <c r="I32" s="3">
        <f t="shared" si="1"/>
        <v>0.48866125231049523</v>
      </c>
      <c r="J32" s="3">
        <f t="shared" si="2"/>
        <v>0.48266518164292921</v>
      </c>
      <c r="K32" s="2">
        <f t="shared" si="3"/>
        <v>1.6513192249999999E-2</v>
      </c>
      <c r="L32" s="2">
        <f t="shared" si="30"/>
        <v>85959.161373589086</v>
      </c>
      <c r="M32" s="2">
        <f t="shared" si="4"/>
        <v>1.8969239949999994E-2</v>
      </c>
      <c r="N32" s="2">
        <f t="shared" si="5"/>
        <v>3.4470805647391238E-2</v>
      </c>
      <c r="O32" s="2">
        <f t="shared" si="31"/>
        <v>70114.988799704923</v>
      </c>
      <c r="P32" s="2">
        <f t="shared" si="6"/>
        <v>1419.4601574108506</v>
      </c>
      <c r="Q32" s="2">
        <f t="shared" si="7"/>
        <v>42004.911444377991</v>
      </c>
      <c r="R32" s="2">
        <f t="shared" si="8"/>
        <v>34262.478232600151</v>
      </c>
      <c r="S32" s="2">
        <f>SUM(Q32:Q74)</f>
        <v>574891.41188398644</v>
      </c>
      <c r="T32" s="2">
        <f>SUM(R32:R74)</f>
        <v>375715.11335827078</v>
      </c>
      <c r="U32" s="2">
        <f>1</f>
        <v>1</v>
      </c>
      <c r="V32" s="2">
        <f t="shared" si="9"/>
        <v>685.12399471160904</v>
      </c>
      <c r="W32" s="2">
        <f>SUMPRODUCT(U32:U73,V32:V73)</f>
        <v>28330.800034776621</v>
      </c>
      <c r="X32" s="2">
        <f>IF(Q32=0,0,((W32+(betaPrime*(S32-S74)))-(($BB$18*(T32-T23))*(D32&lt;=$BB$4)))/Q32)</f>
        <v>0.68815027702026954</v>
      </c>
      <c r="Y32" s="4">
        <f t="shared" si="10"/>
        <v>68815</v>
      </c>
      <c r="Z32" s="2">
        <f t="shared" si="11"/>
        <v>0</v>
      </c>
      <c r="AA32" s="2">
        <f t="shared" si="12"/>
        <v>0.68815027702026954</v>
      </c>
      <c r="AB32" s="2">
        <f t="shared" si="13"/>
        <v>0.68815027702026954</v>
      </c>
      <c r="AC32" s="2">
        <f t="shared" si="14"/>
        <v>0.62555112702547333</v>
      </c>
      <c r="AD32" s="2">
        <f t="shared" si="15"/>
        <v>1.1000703975907744</v>
      </c>
      <c r="AF32" s="2">
        <f t="shared" si="16"/>
        <v>3.3623250125000004E-2</v>
      </c>
      <c r="AG32" s="2">
        <f t="shared" si="32"/>
        <v>70921.291757143466</v>
      </c>
      <c r="AH32" s="2">
        <f t="shared" si="17"/>
        <v>1.8969239949999994E-2</v>
      </c>
      <c r="AI32" s="2">
        <f t="shared" si="18"/>
        <v>3.4470805647391238E-2</v>
      </c>
      <c r="AJ32" s="2">
        <f t="shared" si="33"/>
        <v>70114.988799704923</v>
      </c>
      <c r="AK32" s="2">
        <f t="shared" si="19"/>
        <v>1284.7392001806538</v>
      </c>
      <c r="AL32" s="2">
        <f t="shared" si="20"/>
        <v>34656.487245523727</v>
      </c>
      <c r="AM32" s="2">
        <f t="shared" si="21"/>
        <v>34262.478232600151</v>
      </c>
      <c r="AN32" s="2">
        <f>SUM(AL32:AL63)</f>
        <v>383756.17011723062</v>
      </c>
      <c r="AO32" s="2">
        <f>SUM(AM32:AM63)</f>
        <v>375562.52778855647</v>
      </c>
      <c r="AP32" s="2">
        <f t="shared" si="22"/>
        <v>1</v>
      </c>
      <c r="AQ32" s="2">
        <f t="shared" si="23"/>
        <v>620.09887941898683</v>
      </c>
      <c r="AR32" s="2">
        <f>SUMPRODUCT(AP32:AP62,AQ32:AQ62)</f>
        <v>10683.80525182412</v>
      </c>
      <c r="AS32" s="2">
        <f>IF(AL32=0,0,((AR32+(betaPrime*(AN32-AN63)))-(($BC$18*(AO32-AO23))*(D32&lt;=$BC$4)))/AL32)</f>
        <v>0.31934641729667107</v>
      </c>
      <c r="AT32" s="4">
        <f t="shared" si="24"/>
        <v>31935</v>
      </c>
      <c r="AU32" s="2">
        <f t="shared" si="25"/>
        <v>0</v>
      </c>
      <c r="AV32" s="2">
        <f t="shared" si="26"/>
        <v>0.31934641729667107</v>
      </c>
      <c r="AW32" s="2">
        <f t="shared" si="27"/>
        <v>0.31934641729667107</v>
      </c>
      <c r="AX32" s="2">
        <f t="shared" si="28"/>
        <v>0.38981870774519278</v>
      </c>
      <c r="AY32" s="2">
        <f t="shared" si="29"/>
        <v>0.81921778239902654</v>
      </c>
    </row>
    <row r="33" spans="4:51" x14ac:dyDescent="0.45">
      <c r="D33" s="1">
        <v>30</v>
      </c>
      <c r="E33" s="1">
        <f t="shared" si="0"/>
        <v>70</v>
      </c>
      <c r="F33" s="3">
        <v>1.7510000000000001E-2</v>
      </c>
      <c r="G33" s="3">
        <v>1.0480000000000001E-3</v>
      </c>
      <c r="H33" s="3">
        <v>1.9476E-2</v>
      </c>
      <c r="I33" s="3">
        <f t="shared" si="1"/>
        <v>0.47674268518097107</v>
      </c>
      <c r="J33" s="3">
        <f t="shared" si="2"/>
        <v>0.47089286013944315</v>
      </c>
      <c r="K33" s="2">
        <f t="shared" si="3"/>
        <v>1.8548824760000002E-2</v>
      </c>
      <c r="L33" s="2">
        <f t="shared" si="30"/>
        <v>84539.701216178233</v>
      </c>
      <c r="M33" s="2">
        <f t="shared" si="4"/>
        <v>2.0503589152000123E-2</v>
      </c>
      <c r="N33" s="2">
        <f t="shared" si="5"/>
        <v>3.7834080228974359E-2</v>
      </c>
      <c r="O33" s="2">
        <f t="shared" si="31"/>
        <v>67698.068647821274</v>
      </c>
      <c r="P33" s="2">
        <f t="shared" si="6"/>
        <v>1568.1121031216492</v>
      </c>
      <c r="Q33" s="2">
        <f t="shared" si="7"/>
        <v>40303.684162197816</v>
      </c>
      <c r="R33" s="2">
        <f t="shared" si="8"/>
        <v>32274.559028728025</v>
      </c>
      <c r="S33" s="2">
        <f>SUM(Q33:Q74)</f>
        <v>532886.50043960835</v>
      </c>
      <c r="T33" s="2">
        <f>SUM(R33:R74)</f>
        <v>341452.63512567064</v>
      </c>
      <c r="U33" s="2">
        <f>1</f>
        <v>1</v>
      </c>
      <c r="V33" s="2">
        <f t="shared" si="9"/>
        <v>738.41279325823075</v>
      </c>
      <c r="W33" s="2">
        <f>SUMPRODUCT(U33:U73,V33:V73)</f>
        <v>27645.676040065009</v>
      </c>
      <c r="X33" s="2">
        <f>IF(Q33=0,0,((W33+(betaPrime*(S33-S74)))-(($BB$18*(T33-T23))*(D33&lt;=$BB$4)))/Q33)</f>
        <v>0.69915599842195664</v>
      </c>
      <c r="Y33" s="4">
        <f t="shared" si="10"/>
        <v>69916</v>
      </c>
      <c r="Z33" s="2">
        <f t="shared" si="11"/>
        <v>0</v>
      </c>
      <c r="AA33" s="2">
        <f t="shared" si="12"/>
        <v>0.69915599842195664</v>
      </c>
      <c r="AB33" s="2">
        <f t="shared" si="13"/>
        <v>0.69915599842195664</v>
      </c>
      <c r="AC33" s="2">
        <f t="shared" si="14"/>
        <v>0.62555112702547333</v>
      </c>
      <c r="AD33" s="2">
        <f t="shared" si="15"/>
        <v>1.1176640377046048</v>
      </c>
      <c r="AF33" s="2">
        <f t="shared" si="16"/>
        <v>3.6815487620000004E-2</v>
      </c>
      <c r="AG33" s="2">
        <f t="shared" si="32"/>
        <v>68536.687425204931</v>
      </c>
      <c r="AH33" s="2">
        <f t="shared" si="17"/>
        <v>2.0503589152000123E-2</v>
      </c>
      <c r="AI33" s="2">
        <f t="shared" si="18"/>
        <v>3.7834080228974359E-2</v>
      </c>
      <c r="AJ33" s="2">
        <f t="shared" si="33"/>
        <v>67698.068647821274</v>
      </c>
      <c r="AK33" s="2">
        <f t="shared" si="19"/>
        <v>1334.8205242932913</v>
      </c>
      <c r="AL33" s="2">
        <f t="shared" si="20"/>
        <v>32674.364396501092</v>
      </c>
      <c r="AM33" s="2">
        <f t="shared" si="21"/>
        <v>32274.559028728025</v>
      </c>
      <c r="AN33" s="2">
        <f>SUM(AL33:AL63)</f>
        <v>349099.68287170702</v>
      </c>
      <c r="AO33" s="2">
        <f>SUM(AM33:AM63)</f>
        <v>341300.04955595633</v>
      </c>
      <c r="AP33" s="2">
        <f t="shared" si="22"/>
        <v>1</v>
      </c>
      <c r="AQ33" s="2">
        <f t="shared" si="23"/>
        <v>628.55745445729906</v>
      </c>
      <c r="AR33" s="2">
        <f>SUMPRODUCT(AP33:AP62,AQ33:AQ62)</f>
        <v>10063.706372405133</v>
      </c>
      <c r="AS33" s="2">
        <f>IF(AL33=0,0,((AR33+(betaPrime*(AN33-AN63)))-(($BC$18*(AO33-AO23))*(D33&lt;=$BC$4)))/AL33)</f>
        <v>0.31868009871360498</v>
      </c>
      <c r="AT33" s="4">
        <f t="shared" si="24"/>
        <v>31868</v>
      </c>
      <c r="AU33" s="2">
        <f t="shared" si="25"/>
        <v>0</v>
      </c>
      <c r="AV33" s="2">
        <f t="shared" si="26"/>
        <v>0.31868009871360498</v>
      </c>
      <c r="AW33" s="2">
        <f t="shared" si="27"/>
        <v>0.31868009871360498</v>
      </c>
      <c r="AX33" s="2">
        <f t="shared" si="28"/>
        <v>0.38981870774519278</v>
      </c>
      <c r="AY33" s="2">
        <f t="shared" si="29"/>
        <v>0.81750847863851628</v>
      </c>
    </row>
    <row r="34" spans="4:51" x14ac:dyDescent="0.45">
      <c r="D34" s="1">
        <v>31</v>
      </c>
      <c r="E34" s="1">
        <f t="shared" si="0"/>
        <v>71</v>
      </c>
      <c r="F34" s="3">
        <v>1.9369999999999998E-2</v>
      </c>
      <c r="G34" s="3">
        <v>1.111E-3</v>
      </c>
      <c r="H34" s="3">
        <v>2.0858999999999999E-2</v>
      </c>
      <c r="I34" s="3">
        <f t="shared" si="1"/>
        <v>0.46511481481070355</v>
      </c>
      <c r="J34" s="3">
        <f t="shared" si="2"/>
        <v>0.45940766842872505</v>
      </c>
      <c r="K34" s="2">
        <f t="shared" si="3"/>
        <v>2.0470239964999998E-2</v>
      </c>
      <c r="L34" s="2">
        <f t="shared" si="30"/>
        <v>82971.589113056587</v>
      </c>
      <c r="M34" s="2">
        <f t="shared" si="4"/>
        <v>2.1946825650999924E-2</v>
      </c>
      <c r="N34" s="2">
        <f t="shared" si="5"/>
        <v>4.1104270644569986E-2</v>
      </c>
      <c r="O34" s="2">
        <f t="shared" si="31"/>
        <v>65136.774487252987</v>
      </c>
      <c r="P34" s="2">
        <f t="shared" si="6"/>
        <v>1698.4483394216497</v>
      </c>
      <c r="Q34" s="2">
        <f t="shared" si="7"/>
        <v>38591.315304869102</v>
      </c>
      <c r="R34" s="2">
        <f t="shared" si="8"/>
        <v>30296.078803005232</v>
      </c>
      <c r="S34" s="2">
        <f>SUM(Q34:Q74)</f>
        <v>492582.81627741066</v>
      </c>
      <c r="T34" s="2">
        <f>SUM(R34:R74)</f>
        <v>309178.07609694265</v>
      </c>
      <c r="U34" s="2">
        <f>1</f>
        <v>1</v>
      </c>
      <c r="V34" s="2">
        <f t="shared" si="9"/>
        <v>780.28019156033997</v>
      </c>
      <c r="W34" s="2">
        <f>SUMPRODUCT(U34:U73,V34:V73)</f>
        <v>26907.263246806782</v>
      </c>
      <c r="X34" s="2">
        <f>IF(Q34=0,0,((W34+(betaPrime*(S34-S74)))-(($BB$18*(T34-T23))*(D34&lt;=$BB$4)))/Q34)</f>
        <v>0.71000031604590397</v>
      </c>
      <c r="Y34" s="4">
        <f t="shared" si="10"/>
        <v>71000</v>
      </c>
      <c r="Z34" s="2">
        <f t="shared" si="11"/>
        <v>0</v>
      </c>
      <c r="AA34" s="2">
        <f t="shared" si="12"/>
        <v>0.71000031604590397</v>
      </c>
      <c r="AB34" s="2">
        <f t="shared" si="13"/>
        <v>0.71000031604590397</v>
      </c>
      <c r="AC34" s="2">
        <f t="shared" si="14"/>
        <v>0.62555112702547333</v>
      </c>
      <c r="AD34" s="2">
        <f t="shared" si="15"/>
        <v>1.1349996592956211</v>
      </c>
      <c r="AF34" s="2">
        <f t="shared" si="16"/>
        <v>4.0026980585000003E-2</v>
      </c>
      <c r="AG34" s="2">
        <f t="shared" si="32"/>
        <v>66013.475857786485</v>
      </c>
      <c r="AH34" s="2">
        <f t="shared" si="17"/>
        <v>2.1946825650999924E-2</v>
      </c>
      <c r="AI34" s="2">
        <f t="shared" si="18"/>
        <v>4.1104270644569986E-2</v>
      </c>
      <c r="AJ34" s="2">
        <f t="shared" si="33"/>
        <v>65136.774487252987</v>
      </c>
      <c r="AK34" s="2">
        <f t="shared" si="19"/>
        <v>1376.9750929175682</v>
      </c>
      <c r="AL34" s="2">
        <f t="shared" si="20"/>
        <v>30703.84559860521</v>
      </c>
      <c r="AM34" s="2">
        <f t="shared" si="21"/>
        <v>30296.078803005232</v>
      </c>
      <c r="AN34" s="2">
        <f>SUM(AL34:AL63)</f>
        <v>316425.3184752058</v>
      </c>
      <c r="AO34" s="2">
        <f>SUM(AM34:AM63)</f>
        <v>309025.49052722834</v>
      </c>
      <c r="AP34" s="2">
        <f t="shared" si="22"/>
        <v>1</v>
      </c>
      <c r="AQ34" s="2">
        <f t="shared" si="23"/>
        <v>632.59291692168699</v>
      </c>
      <c r="AR34" s="2">
        <f>SUMPRODUCT(AP34:AP62,AQ34:AQ62)</f>
        <v>9435.1489179478322</v>
      </c>
      <c r="AS34" s="2">
        <f>IF(AL34=0,0,((AR34+(betaPrime*(AN34-AN63)))-(($BC$18*(AO34-AO23))*(D34&lt;=$BC$4)))/AL34)</f>
        <v>0.31759662877116751</v>
      </c>
      <c r="AT34" s="4">
        <f t="shared" si="24"/>
        <v>31760</v>
      </c>
      <c r="AU34" s="2">
        <f t="shared" si="25"/>
        <v>0</v>
      </c>
      <c r="AV34" s="2">
        <f t="shared" si="26"/>
        <v>0.31759662877116751</v>
      </c>
      <c r="AW34" s="2">
        <f t="shared" si="27"/>
        <v>0.31759662877116751</v>
      </c>
      <c r="AX34" s="2">
        <f t="shared" si="28"/>
        <v>0.38981870774519278</v>
      </c>
      <c r="AY34" s="2">
        <f t="shared" si="29"/>
        <v>0.81472905856218258</v>
      </c>
    </row>
    <row r="35" spans="4:51" x14ac:dyDescent="0.45">
      <c r="D35" s="1">
        <v>32</v>
      </c>
      <c r="E35" s="1">
        <f t="shared" ref="E35:E66" si="34">x_age+D35</f>
        <v>72</v>
      </c>
      <c r="F35" s="3">
        <v>2.111E-2</v>
      </c>
      <c r="G35" s="3">
        <v>1.175E-3</v>
      </c>
      <c r="H35" s="3">
        <v>2.2248E-2</v>
      </c>
      <c r="I35" s="3">
        <f t="shared" ref="I35:I66" si="35">v_disc^(D35)</f>
        <v>0.45377055103483266</v>
      </c>
      <c r="J35" s="3">
        <f t="shared" ref="J35:J66" si="36">v_disc^(D35+0.5)</f>
        <v>0.44820260334509765</v>
      </c>
      <c r="K35" s="2">
        <f t="shared" ref="K35:K66" si="37">MIN(1,((F35+G35)-((F35*G35)/2)))</f>
        <v>2.2272597874999998E-2</v>
      </c>
      <c r="L35" s="2">
        <f t="shared" si="30"/>
        <v>81273.140773634936</v>
      </c>
      <c r="M35" s="2">
        <f t="shared" ref="M35:M66" si="38">(1-((1-G35)*(1-H35)))</f>
        <v>2.339685860000007E-2</v>
      </c>
      <c r="N35" s="2">
        <f t="shared" ref="N35:N66" si="39">MIN(1,((F35+M35)-((F35*M35)/2)))</f>
        <v>4.425990475747707E-2</v>
      </c>
      <c r="O35" s="2">
        <f t="shared" si="31"/>
        <v>62459.374879814619</v>
      </c>
      <c r="P35" s="2">
        <f t="shared" ref="P35:P66" si="40">(L35*K35)</f>
        <v>1810.1639824894371</v>
      </c>
      <c r="Q35" s="2">
        <f t="shared" ref="Q35:Q66" si="41">(L35*I35)</f>
        <v>36879.35787318385</v>
      </c>
      <c r="R35" s="2">
        <f t="shared" ref="R35:R66" si="42">(O35*I35)</f>
        <v>28342.224956504666</v>
      </c>
      <c r="S35" s="2">
        <f>SUM(Q35:Q74)</f>
        <v>453991.50097254157</v>
      </c>
      <c r="T35" s="2">
        <f>SUM(R35:R74)</f>
        <v>278881.99729393743</v>
      </c>
      <c r="U35" s="2">
        <f>1</f>
        <v>1</v>
      </c>
      <c r="V35" s="2">
        <f t="shared" ref="V35:V66" si="43">((L35*K35)*J35)</f>
        <v>811.32020943329542</v>
      </c>
      <c r="W35" s="2">
        <f>SUMPRODUCT(U35:U73,V35:V73)</f>
        <v>26126.983055246441</v>
      </c>
      <c r="X35" s="2">
        <f>IF(Q35=0,0,((W35+(betaPrime*(S35-S74)))-(($BB$18*(T35-T23))*(D35&lt;=$BB$4)))/Q35)</f>
        <v>0.72075480944170267</v>
      </c>
      <c r="Y35" s="4">
        <f t="shared" ref="Y35:Y66" si="44">ROUND((X35*100000),0)</f>
        <v>72075</v>
      </c>
      <c r="Z35" s="2">
        <f t="shared" ref="Z35:Z66" si="45">(($BB$19*MAX((MIN($BB$4,7)-D35),0))/MIN($BB$4,7))</f>
        <v>0</v>
      </c>
      <c r="AA35" s="2">
        <f t="shared" ref="AA35:AA66" si="46">MAX((X35-Z35),0)</f>
        <v>0.72075480944170267</v>
      </c>
      <c r="AB35" s="2">
        <f t="shared" ref="AB35:AB66" si="47">AA35</f>
        <v>0.72075480944170267</v>
      </c>
      <c r="AC35" s="2">
        <f t="shared" ref="AC35:AC66" si="48">((MIN(D35,$BB$4)*k_freq)*$BB$14)</f>
        <v>0.62555112702547333</v>
      </c>
      <c r="AD35" s="2">
        <f t="shared" ref="AD35:AD66" si="49">IF(AC35=0,0,AB35/AC35)</f>
        <v>1.1521916887416181</v>
      </c>
      <c r="AF35" s="2">
        <f t="shared" ref="AF35:AF63" si="50">MIN(1,((F35+H35)-((F35*H35)/2)))</f>
        <v>4.3123172360000003E-2</v>
      </c>
      <c r="AG35" s="2">
        <f t="shared" si="32"/>
        <v>63371.155741278497</v>
      </c>
      <c r="AH35" s="2">
        <f t="shared" ref="AH35:AH63" si="51">(1-((1-G35)*(1-H35)))</f>
        <v>2.339685860000007E-2</v>
      </c>
      <c r="AI35" s="2">
        <f t="shared" ref="AI35:AI66" si="52">MIN(1,((F35+AH35)-((F35*AH35)/2)))</f>
        <v>4.425990475747707E-2</v>
      </c>
      <c r="AJ35" s="2">
        <f t="shared" si="33"/>
        <v>62459.374879814619</v>
      </c>
      <c r="AK35" s="2">
        <f t="shared" ref="AK35:AK63" si="53">(AG35*H35)</f>
        <v>1409.881472931964</v>
      </c>
      <c r="AL35" s="2">
        <f t="shared" ref="AL35:AL63" si="54">(AG35*I35)</f>
        <v>28755.964260434142</v>
      </c>
      <c r="AM35" s="2">
        <f t="shared" ref="AM35:AM63" si="55">(AJ35*I35)</f>
        <v>28342.224956504666</v>
      </c>
      <c r="AN35" s="2">
        <f>SUM(AL35:AL63)</f>
        <v>285721.47287660075</v>
      </c>
      <c r="AO35" s="2">
        <f>SUM(AM35:AM63)</f>
        <v>278729.41172422312</v>
      </c>
      <c r="AP35" s="2">
        <f t="shared" ref="AP35:AP63" si="56">(1*IF((D35=0),(1-(3/12)),1))</f>
        <v>1</v>
      </c>
      <c r="AQ35" s="2">
        <f t="shared" ref="AQ35:AQ63" si="57">((AG35*H35)*J35)</f>
        <v>631.91254657612706</v>
      </c>
      <c r="AR35" s="2">
        <f>SUMPRODUCT(AP35:AP62,AQ35:AQ62)</f>
        <v>8802.5560010261452</v>
      </c>
      <c r="AS35" s="2">
        <f>IF(AL35=0,0,((AR35+(betaPrime*(AN35-AN63)))-(($BC$18*(AO35-AO23))*(D35&lt;=$BC$4)))/AL35)</f>
        <v>0.31604369123562004</v>
      </c>
      <c r="AT35" s="4">
        <f t="shared" ref="AT35:AT66" si="58">ROUND((AS35*100000),0)</f>
        <v>31604</v>
      </c>
      <c r="AU35" s="2">
        <f t="shared" ref="AU35:AU63" si="59">(($BC$19*MAX((MIN($BC$4,7)-D35),0))/MIN($BC$4,7))</f>
        <v>0</v>
      </c>
      <c r="AV35" s="2">
        <f t="shared" ref="AV35:AV66" si="60">MAX((AS35-AU35),0)</f>
        <v>0.31604369123562004</v>
      </c>
      <c r="AW35" s="2">
        <f t="shared" ref="AW35:AW66" si="61">AV35</f>
        <v>0.31604369123562004</v>
      </c>
      <c r="AX35" s="2">
        <f t="shared" ref="AX35:AX63" si="62">((MIN(D35,$BC$4)*k_freq)*$BC$14)</f>
        <v>0.38981870774519278</v>
      </c>
      <c r="AY35" s="2">
        <f t="shared" ref="AY35:AY66" si="63">IF(AX35=0,0,AW35/AX35)</f>
        <v>0.8107453155947657</v>
      </c>
    </row>
    <row r="36" spans="4:51" x14ac:dyDescent="0.45">
      <c r="D36" s="1">
        <v>33</v>
      </c>
      <c r="E36" s="1">
        <f t="shared" si="34"/>
        <v>73</v>
      </c>
      <c r="F36" s="3">
        <v>2.265E-2</v>
      </c>
      <c r="G36" s="3">
        <v>1.237E-3</v>
      </c>
      <c r="H36" s="3">
        <v>2.3633000000000001E-2</v>
      </c>
      <c r="I36" s="3">
        <f t="shared" si="35"/>
        <v>0.44270297661934899</v>
      </c>
      <c r="J36" s="3">
        <f t="shared" si="36"/>
        <v>0.4372708325318026</v>
      </c>
      <c r="K36" s="2">
        <f t="shared" si="37"/>
        <v>2.3872990974999998E-2</v>
      </c>
      <c r="L36" s="2">
        <f t="shared" ref="L36:L67" si="64">(L35*(1-K35))</f>
        <v>79462.976791145498</v>
      </c>
      <c r="M36" s="2">
        <f t="shared" si="38"/>
        <v>2.484076597900009E-2</v>
      </c>
      <c r="N36" s="2">
        <f t="shared" si="39"/>
        <v>4.7209444304287917E-2</v>
      </c>
      <c r="O36" s="2">
        <f t="shared" ref="O36:O67" si="65">(O35*(1-N35))</f>
        <v>59694.928896422469</v>
      </c>
      <c r="P36" s="2">
        <f t="shared" si="40"/>
        <v>1897.0189277816507</v>
      </c>
      <c r="Q36" s="2">
        <f t="shared" si="41"/>
        <v>35178.496356474359</v>
      </c>
      <c r="R36" s="2">
        <f t="shared" si="42"/>
        <v>26427.122711526616</v>
      </c>
      <c r="S36" s="2">
        <f>SUM(Q36:Q74)</f>
        <v>417112.14309935772</v>
      </c>
      <c r="T36" s="2">
        <f>SUM(R36:R74)</f>
        <v>250539.77233743292</v>
      </c>
      <c r="U36" s="2">
        <f>1</f>
        <v>1</v>
      </c>
      <c r="V36" s="2">
        <f t="shared" si="43"/>
        <v>829.51104587966995</v>
      </c>
      <c r="W36" s="2">
        <f>SUMPRODUCT(U36:U73,V36:V73)</f>
        <v>25315.662845813145</v>
      </c>
      <c r="X36" s="2">
        <f>IF(Q36=0,0,((W36+(betaPrime*(S36-S74)))-(($BB$18*(T36-T23))*(D36&lt;=$BB$4)))/Q36)</f>
        <v>0.73149161147066954</v>
      </c>
      <c r="Y36" s="4">
        <f t="shared" si="44"/>
        <v>73149</v>
      </c>
      <c r="Z36" s="2">
        <f t="shared" si="45"/>
        <v>0</v>
      </c>
      <c r="AA36" s="2">
        <f t="shared" si="46"/>
        <v>0.73149161147066954</v>
      </c>
      <c r="AB36" s="2">
        <f t="shared" si="47"/>
        <v>0.73149161147066954</v>
      </c>
      <c r="AC36" s="2">
        <f t="shared" si="48"/>
        <v>0.62555112702547333</v>
      </c>
      <c r="AD36" s="2">
        <f t="shared" si="49"/>
        <v>1.1693554369391812</v>
      </c>
      <c r="AF36" s="2">
        <f t="shared" si="50"/>
        <v>4.6015356275000002E-2</v>
      </c>
      <c r="AG36" s="2">
        <f t="shared" ref="AG36:AG63" si="66">(AG35*(1-AF35))</f>
        <v>60638.390469594946</v>
      </c>
      <c r="AH36" s="2">
        <f t="shared" si="51"/>
        <v>2.484076597900009E-2</v>
      </c>
      <c r="AI36" s="2">
        <f t="shared" si="52"/>
        <v>4.7209444304287917E-2</v>
      </c>
      <c r="AJ36" s="2">
        <f t="shared" ref="AJ36:AJ63" si="67">(AJ35*(1-AI35))</f>
        <v>59694.928896422469</v>
      </c>
      <c r="AK36" s="2">
        <f t="shared" si="53"/>
        <v>1433.0670819679374</v>
      </c>
      <c r="AL36" s="2">
        <f t="shared" si="54"/>
        <v>26844.795958296047</v>
      </c>
      <c r="AM36" s="2">
        <f t="shared" si="55"/>
        <v>26427.122711526616</v>
      </c>
      <c r="AN36" s="2">
        <f>SUM(AL36:AL63)</f>
        <v>256965.50861616654</v>
      </c>
      <c r="AO36" s="2">
        <f>SUM(AM36:AM63)</f>
        <v>250387.18676771852</v>
      </c>
      <c r="AP36" s="2">
        <f t="shared" si="56"/>
        <v>1</v>
      </c>
      <c r="AQ36" s="2">
        <f t="shared" si="57"/>
        <v>626.63843600604093</v>
      </c>
      <c r="AR36" s="2">
        <f>SUMPRODUCT(AP36:AP62,AQ36:AQ62)</f>
        <v>8170.6434544500207</v>
      </c>
      <c r="AS36" s="2">
        <f>IF(AL36=0,0,((AR36+(betaPrime*(AN36-AN63)))-(($BC$18*(AO36-AO23))*(D36&lt;=$BC$4)))/AL36)</f>
        <v>0.31393319554981419</v>
      </c>
      <c r="AT36" s="4">
        <f t="shared" si="58"/>
        <v>31393</v>
      </c>
      <c r="AU36" s="2">
        <f t="shared" si="59"/>
        <v>0</v>
      </c>
      <c r="AV36" s="2">
        <f t="shared" si="60"/>
        <v>0.31393319554981419</v>
      </c>
      <c r="AW36" s="2">
        <f t="shared" si="61"/>
        <v>0.31393319554981419</v>
      </c>
      <c r="AX36" s="2">
        <f t="shared" si="62"/>
        <v>0.38981870774519278</v>
      </c>
      <c r="AY36" s="2">
        <f t="shared" si="63"/>
        <v>0.80533127146637207</v>
      </c>
    </row>
    <row r="37" spans="4:51" x14ac:dyDescent="0.45">
      <c r="D37" s="1">
        <v>34</v>
      </c>
      <c r="E37" s="1">
        <f t="shared" si="34"/>
        <v>74</v>
      </c>
      <c r="F37" s="3">
        <v>2.402E-2</v>
      </c>
      <c r="G37" s="3">
        <v>1.294E-3</v>
      </c>
      <c r="H37" s="3">
        <v>2.5020000000000001E-2</v>
      </c>
      <c r="I37" s="3">
        <f t="shared" si="35"/>
        <v>0.43190534304326733</v>
      </c>
      <c r="J37" s="3">
        <f t="shared" si="36"/>
        <v>0.42660569027492939</v>
      </c>
      <c r="K37" s="2">
        <f t="shared" si="37"/>
        <v>2.529845906E-2</v>
      </c>
      <c r="L37" s="2">
        <f t="shared" si="64"/>
        <v>77565.957863363845</v>
      </c>
      <c r="M37" s="2">
        <f t="shared" si="38"/>
        <v>2.6281624120000013E-2</v>
      </c>
      <c r="N37" s="2">
        <f t="shared" si="39"/>
        <v>4.9985981814318813E-2</v>
      </c>
      <c r="O37" s="2">
        <f t="shared" si="65"/>
        <v>56876.764475438387</v>
      </c>
      <c r="P37" s="2">
        <f t="shared" si="40"/>
        <v>1962.2992094559954</v>
      </c>
      <c r="Q37" s="2">
        <f t="shared" si="41"/>
        <v>33501.151639455784</v>
      </c>
      <c r="R37" s="2">
        <f t="shared" si="42"/>
        <v>24565.378471955337</v>
      </c>
      <c r="S37" s="2">
        <f>SUM(Q37:Q74)</f>
        <v>381933.64674288337</v>
      </c>
      <c r="T37" s="2">
        <f>SUM(R37:R74)</f>
        <v>224112.64962590628</v>
      </c>
      <c r="U37" s="2">
        <f>1</f>
        <v>1</v>
      </c>
      <c r="V37" s="2">
        <f t="shared" si="43"/>
        <v>837.12800877592315</v>
      </c>
      <c r="W37" s="2">
        <f>SUMPRODUCT(U37:U73,V37:V73)</f>
        <v>24486.151799933472</v>
      </c>
      <c r="X37" s="2">
        <f>IF(Q37=0,0,((W37+(betaPrime*(S37-S74)))-(($BB$18*(T37-T23))*(D37&lt;=$BB$4)))/Q37)</f>
        <v>0.74230539040300081</v>
      </c>
      <c r="Y37" s="4">
        <f t="shared" si="44"/>
        <v>74231</v>
      </c>
      <c r="Z37" s="2">
        <f t="shared" si="45"/>
        <v>0</v>
      </c>
      <c r="AA37" s="2">
        <f t="shared" si="46"/>
        <v>0.74230539040300081</v>
      </c>
      <c r="AB37" s="2">
        <f t="shared" si="47"/>
        <v>0.74230539040300081</v>
      </c>
      <c r="AC37" s="2">
        <f t="shared" si="48"/>
        <v>0.62555112702547333</v>
      </c>
      <c r="AD37" s="2">
        <f t="shared" si="49"/>
        <v>1.1866422396722387</v>
      </c>
      <c r="AF37" s="2">
        <f t="shared" si="50"/>
        <v>4.8739509799999997E-2</v>
      </c>
      <c r="AG37" s="2">
        <f t="shared" si="66"/>
        <v>57848.093328193972</v>
      </c>
      <c r="AH37" s="2">
        <f t="shared" si="51"/>
        <v>2.6281624120000013E-2</v>
      </c>
      <c r="AI37" s="2">
        <f t="shared" si="52"/>
        <v>4.9985981814318813E-2</v>
      </c>
      <c r="AJ37" s="2">
        <f t="shared" si="67"/>
        <v>56876.764475438387</v>
      </c>
      <c r="AK37" s="2">
        <f t="shared" si="53"/>
        <v>1447.3592950714133</v>
      </c>
      <c r="AL37" s="2">
        <f t="shared" si="54"/>
        <v>24984.900593312563</v>
      </c>
      <c r="AM37" s="2">
        <f t="shared" si="55"/>
        <v>24565.378471955337</v>
      </c>
      <c r="AN37" s="2">
        <f>SUM(AL37:AL63)</f>
        <v>230120.71265787049</v>
      </c>
      <c r="AO37" s="2">
        <f>SUM(AM37:AM63)</f>
        <v>223960.06405619188</v>
      </c>
      <c r="AP37" s="2">
        <f t="shared" si="56"/>
        <v>1</v>
      </c>
      <c r="AQ37" s="2">
        <f t="shared" si="57"/>
        <v>617.45171114977552</v>
      </c>
      <c r="AR37" s="2">
        <f>SUMPRODUCT(AP37:AP62,AQ37:AQ62)</f>
        <v>7544.0050184439806</v>
      </c>
      <c r="AS37" s="2">
        <f>IF(AL37=0,0,((AR37+(betaPrime*(AN37-AN63)))-(($BC$18*(AO37-AO23))*(D37&lt;=$BC$4)))/AL37)</f>
        <v>0.31114749958969451</v>
      </c>
      <c r="AT37" s="4">
        <f t="shared" si="58"/>
        <v>31115</v>
      </c>
      <c r="AU37" s="2">
        <f t="shared" si="59"/>
        <v>0</v>
      </c>
      <c r="AV37" s="2">
        <f t="shared" si="60"/>
        <v>0.31114749958969451</v>
      </c>
      <c r="AW37" s="2">
        <f t="shared" si="61"/>
        <v>0.31114749958969451</v>
      </c>
      <c r="AX37" s="2">
        <f t="shared" si="62"/>
        <v>0.38981870774519278</v>
      </c>
      <c r="AY37" s="2">
        <f t="shared" si="63"/>
        <v>0.79818513941890612</v>
      </c>
    </row>
    <row r="38" spans="4:51" x14ac:dyDescent="0.45">
      <c r="D38" s="1">
        <v>35</v>
      </c>
      <c r="E38" s="1">
        <f t="shared" si="34"/>
        <v>75</v>
      </c>
      <c r="F38" s="3">
        <v>2.546E-2</v>
      </c>
      <c r="G38" s="3">
        <v>1.3470000000000001E-3</v>
      </c>
      <c r="H38" s="3">
        <v>2.6433999999999999E-2</v>
      </c>
      <c r="I38" s="3">
        <f t="shared" si="35"/>
        <v>0.4213710663836755</v>
      </c>
      <c r="J38" s="3">
        <f t="shared" si="36"/>
        <v>0.41620067343895556</v>
      </c>
      <c r="K38" s="2">
        <f t="shared" si="37"/>
        <v>2.6789852690000001E-2</v>
      </c>
      <c r="L38" s="2">
        <f t="shared" si="64"/>
        <v>75603.658653907842</v>
      </c>
      <c r="M38" s="2">
        <f t="shared" si="38"/>
        <v>2.7745393401999996E-2</v>
      </c>
      <c r="N38" s="2">
        <f t="shared" si="39"/>
        <v>5.285219454399253E-2</v>
      </c>
      <c r="O38" s="2">
        <f t="shared" si="65"/>
        <v>54033.723560711835</v>
      </c>
      <c r="P38" s="2">
        <f t="shared" si="40"/>
        <v>2025.4108781632349</v>
      </c>
      <c r="Q38" s="2">
        <f t="shared" si="41"/>
        <v>31857.194269504544</v>
      </c>
      <c r="R38" s="2">
        <f t="shared" si="42"/>
        <v>22768.247717457878</v>
      </c>
      <c r="S38" s="2">
        <f>SUM(Q38:Q74)</f>
        <v>348432.49510342762</v>
      </c>
      <c r="T38" s="2">
        <f>SUM(R38:R74)</f>
        <v>199547.27115395095</v>
      </c>
      <c r="U38" s="2">
        <f>1</f>
        <v>1</v>
      </c>
      <c r="V38" s="2">
        <f t="shared" si="43"/>
        <v>842.97737148212468</v>
      </c>
      <c r="W38" s="2">
        <f>SUMPRODUCT(U38:U73,V38:V73)</f>
        <v>23649.02379115755</v>
      </c>
      <c r="X38" s="2">
        <f>IF(Q38=0,0,((W38+(betaPrime*(S38-S74)))-(($BB$18*(T38-T23))*(D38&lt;=$BB$4)))/Q38)</f>
        <v>0.75328216550547455</v>
      </c>
      <c r="Y38" s="4">
        <f t="shared" si="44"/>
        <v>75328</v>
      </c>
      <c r="Z38" s="2">
        <f t="shared" si="45"/>
        <v>0</v>
      </c>
      <c r="AA38" s="2">
        <f t="shared" si="46"/>
        <v>0.75328216550547455</v>
      </c>
      <c r="AB38" s="2">
        <f t="shared" si="47"/>
        <v>0.75328216550547455</v>
      </c>
      <c r="AC38" s="2">
        <f t="shared" si="48"/>
        <v>0.62555112702547333</v>
      </c>
      <c r="AD38" s="2">
        <f t="shared" si="49"/>
        <v>1.2041896065112514</v>
      </c>
      <c r="AF38" s="2">
        <f t="shared" si="50"/>
        <v>5.1557495179999996E-2</v>
      </c>
      <c r="AG38" s="2">
        <f t="shared" si="66"/>
        <v>55028.605616513152</v>
      </c>
      <c r="AH38" s="2">
        <f t="shared" si="51"/>
        <v>2.7745393401999996E-2</v>
      </c>
      <c r="AI38" s="2">
        <f t="shared" si="52"/>
        <v>5.285219454399253E-2</v>
      </c>
      <c r="AJ38" s="2">
        <f t="shared" si="67"/>
        <v>54033.723560711835</v>
      </c>
      <c r="AK38" s="2">
        <f t="shared" si="53"/>
        <v>1454.6261608669085</v>
      </c>
      <c r="AL38" s="2">
        <f t="shared" si="54"/>
        <v>23187.462230236863</v>
      </c>
      <c r="AM38" s="2">
        <f t="shared" si="55"/>
        <v>22768.247717457878</v>
      </c>
      <c r="AN38" s="2">
        <f>SUM(AL38:AL63)</f>
        <v>205135.81206455792</v>
      </c>
      <c r="AO38" s="2">
        <f>SUM(AM38:AM63)</f>
        <v>199394.68558423655</v>
      </c>
      <c r="AP38" s="2">
        <f t="shared" si="56"/>
        <v>1</v>
      </c>
      <c r="AQ38" s="2">
        <f t="shared" si="57"/>
        <v>605.41638775472984</v>
      </c>
      <c r="AR38" s="2">
        <f>SUMPRODUCT(AP38:AP62,AQ38:AQ62)</f>
        <v>6926.5533072942053</v>
      </c>
      <c r="AS38" s="2">
        <f>IF(AL38=0,0,((AR38+(betaPrime*(AN38-AN63)))-(($BC$18*(AO38-AO23))*(D38&lt;=$BC$4)))/AL38)</f>
        <v>0.30756072676480822</v>
      </c>
      <c r="AT38" s="4">
        <f t="shared" si="58"/>
        <v>30756</v>
      </c>
      <c r="AU38" s="2">
        <f t="shared" si="59"/>
        <v>0</v>
      </c>
      <c r="AV38" s="2">
        <f t="shared" si="60"/>
        <v>0.30756072676480822</v>
      </c>
      <c r="AW38" s="2">
        <f t="shared" si="61"/>
        <v>0.30756072676480822</v>
      </c>
      <c r="AX38" s="2">
        <f t="shared" si="62"/>
        <v>0.38981870774519278</v>
      </c>
      <c r="AY38" s="2">
        <f t="shared" si="63"/>
        <v>0.7889840088584128</v>
      </c>
    </row>
    <row r="39" spans="4:51" x14ac:dyDescent="0.45">
      <c r="D39" s="1">
        <v>36</v>
      </c>
      <c r="E39" s="1">
        <f t="shared" si="34"/>
        <v>76</v>
      </c>
      <c r="F39" s="3">
        <v>2.7349999999999999E-2</v>
      </c>
      <c r="G39" s="3">
        <v>1.3929999999999999E-3</v>
      </c>
      <c r="H39" s="3">
        <v>2.792E-2</v>
      </c>
      <c r="I39" s="3">
        <f t="shared" si="35"/>
        <v>0.4110937233011468</v>
      </c>
      <c r="J39" s="3">
        <f t="shared" si="36"/>
        <v>0.40604943750142014</v>
      </c>
      <c r="K39" s="2">
        <f t="shared" si="37"/>
        <v>2.8723950724999999E-2</v>
      </c>
      <c r="L39" s="2">
        <f t="shared" si="64"/>
        <v>73578.247775744603</v>
      </c>
      <c r="M39" s="2">
        <f t="shared" si="38"/>
        <v>2.9274107439999919E-2</v>
      </c>
      <c r="N39" s="2">
        <f t="shared" si="39"/>
        <v>5.6223784020757922E-2</v>
      </c>
      <c r="O39" s="2">
        <f t="shared" si="65"/>
        <v>51177.922691144784</v>
      </c>
      <c r="P39" s="2">
        <f t="shared" si="40"/>
        <v>2113.4579635423288</v>
      </c>
      <c r="Q39" s="2">
        <f t="shared" si="41"/>
        <v>30247.555832105172</v>
      </c>
      <c r="R39" s="2">
        <f t="shared" si="42"/>
        <v>21038.922789920955</v>
      </c>
      <c r="S39" s="2">
        <f>SUM(Q39:Q74)</f>
        <v>316575.30083392299</v>
      </c>
      <c r="T39" s="2">
        <f>SUM(R39:R74)</f>
        <v>176779.02343649304</v>
      </c>
      <c r="U39" s="2">
        <f>1</f>
        <v>1</v>
      </c>
      <c r="V39" s="2">
        <f t="shared" si="43"/>
        <v>858.16841727925953</v>
      </c>
      <c r="W39" s="2">
        <f>SUMPRODUCT(U39:U73,V39:V73)</f>
        <v>22806.046419675426</v>
      </c>
      <c r="X39" s="2">
        <f>IF(Q39=0,0,((W39+(betaPrime*(S39-S74)))-(($BB$18*(T39-T23))*(D39&lt;=$BB$4)))/Q39)</f>
        <v>0.76444595552962602</v>
      </c>
      <c r="Y39" s="4">
        <f t="shared" si="44"/>
        <v>76445</v>
      </c>
      <c r="Z39" s="2">
        <f t="shared" si="45"/>
        <v>0</v>
      </c>
      <c r="AA39" s="2">
        <f t="shared" si="46"/>
        <v>0.76444595552962602</v>
      </c>
      <c r="AB39" s="2">
        <f t="shared" si="47"/>
        <v>0.76444595552962602</v>
      </c>
      <c r="AC39" s="2">
        <f t="shared" si="48"/>
        <v>0.62555112702547333</v>
      </c>
      <c r="AD39" s="2">
        <f t="shared" si="49"/>
        <v>1.2220359336008304</v>
      </c>
      <c r="AF39" s="2">
        <f t="shared" si="50"/>
        <v>5.4888194000000001E-2</v>
      </c>
      <c r="AG39" s="2">
        <f t="shared" si="66"/>
        <v>52191.468547677658</v>
      </c>
      <c r="AH39" s="2">
        <f t="shared" si="51"/>
        <v>2.9274107439999919E-2</v>
      </c>
      <c r="AI39" s="2">
        <f t="shared" si="52"/>
        <v>5.6223784020757922E-2</v>
      </c>
      <c r="AJ39" s="2">
        <f t="shared" si="67"/>
        <v>51177.922691144784</v>
      </c>
      <c r="AK39" s="2">
        <f t="shared" si="53"/>
        <v>1457.1858018511602</v>
      </c>
      <c r="AL39" s="2">
        <f t="shared" si="54"/>
        <v>21455.585129819505</v>
      </c>
      <c r="AM39" s="2">
        <f t="shared" si="55"/>
        <v>21038.922789920955</v>
      </c>
      <c r="AN39" s="2">
        <f>SUM(AL39:AL63)</f>
        <v>181948.34983432104</v>
      </c>
      <c r="AO39" s="2">
        <f>SUM(AM39:AM63)</f>
        <v>176626.43786677864</v>
      </c>
      <c r="AP39" s="2">
        <f t="shared" si="56"/>
        <v>1</v>
      </c>
      <c r="AQ39" s="2">
        <f t="shared" si="57"/>
        <v>591.6894751767195</v>
      </c>
      <c r="AR39" s="2">
        <f>SUMPRODUCT(AP39:AP62,AQ39:AQ62)</f>
        <v>6321.1369195394755</v>
      </c>
      <c r="AS39" s="2">
        <f>IF(AL39=0,0,((AR39+(betaPrime*(AN39-AN63)))-(($BC$18*(AO39-AO23))*(D39&lt;=$BC$4)))/AL39)</f>
        <v>0.30308886222544751</v>
      </c>
      <c r="AT39" s="4">
        <f t="shared" si="58"/>
        <v>30309</v>
      </c>
      <c r="AU39" s="2">
        <f t="shared" si="59"/>
        <v>0</v>
      </c>
      <c r="AV39" s="2">
        <f t="shared" si="60"/>
        <v>0.30308886222544751</v>
      </c>
      <c r="AW39" s="2">
        <f t="shared" si="61"/>
        <v>0.30308886222544751</v>
      </c>
      <c r="AX39" s="2">
        <f t="shared" si="62"/>
        <v>0.38981870774519278</v>
      </c>
      <c r="AY39" s="2">
        <f t="shared" si="63"/>
        <v>0.77751235690710685</v>
      </c>
    </row>
    <row r="40" spans="4:51" x14ac:dyDescent="0.45">
      <c r="D40" s="1">
        <v>37</v>
      </c>
      <c r="E40" s="1">
        <f t="shared" si="34"/>
        <v>77</v>
      </c>
      <c r="F40" s="3">
        <v>3.0009999999999998E-2</v>
      </c>
      <c r="G40" s="3">
        <v>1.4369999999999999E-3</v>
      </c>
      <c r="H40" s="3">
        <v>2.9519E-2</v>
      </c>
      <c r="I40" s="3">
        <f t="shared" si="35"/>
        <v>0.40106704712307012</v>
      </c>
      <c r="J40" s="3">
        <f t="shared" si="36"/>
        <v>0.39614579268431233</v>
      </c>
      <c r="K40" s="2">
        <f t="shared" si="37"/>
        <v>3.1425437814999999E-2</v>
      </c>
      <c r="L40" s="2">
        <f t="shared" si="64"/>
        <v>71464.789812202274</v>
      </c>
      <c r="M40" s="2">
        <f t="shared" si="38"/>
        <v>3.091358119699994E-2</v>
      </c>
      <c r="N40" s="2">
        <f t="shared" si="39"/>
        <v>6.0459722911138949E-2</v>
      </c>
      <c r="O40" s="2">
        <f t="shared" si="65"/>
        <v>48300.506219126815</v>
      </c>
      <c r="P40" s="2">
        <f t="shared" si="40"/>
        <v>2245.812308205408</v>
      </c>
      <c r="Q40" s="2">
        <f t="shared" si="41"/>
        <v>28662.172223250833</v>
      </c>
      <c r="R40" s="2">
        <f t="shared" si="42"/>
        <v>19371.741403854674</v>
      </c>
      <c r="S40" s="2">
        <f>SUM(Q40:Q74)</f>
        <v>286327.74500181782</v>
      </c>
      <c r="T40" s="2">
        <f>SUM(R40:R74)</f>
        <v>155740.10064657207</v>
      </c>
      <c r="U40" s="2">
        <f>1</f>
        <v>1</v>
      </c>
      <c r="V40" s="2">
        <f t="shared" si="43"/>
        <v>889.66909705421654</v>
      </c>
      <c r="W40" s="2">
        <f>SUMPRODUCT(U40:U73,V40:V73)</f>
        <v>21947.878002396166</v>
      </c>
      <c r="X40" s="2">
        <f>IF(Q40=0,0,((W40+(betaPrime*(S40-S74)))-(($BB$18*(T40-T23))*(D40&lt;=$BB$4)))/Q40)</f>
        <v>0.77573345014518946</v>
      </c>
      <c r="Y40" s="4">
        <f t="shared" si="44"/>
        <v>77573</v>
      </c>
      <c r="Z40" s="2">
        <f t="shared" si="45"/>
        <v>0</v>
      </c>
      <c r="AA40" s="2">
        <f t="shared" si="46"/>
        <v>0.77573345014518946</v>
      </c>
      <c r="AB40" s="2">
        <f t="shared" si="47"/>
        <v>0.77573345014518946</v>
      </c>
      <c r="AC40" s="2">
        <f t="shared" si="48"/>
        <v>0.62555112702547333</v>
      </c>
      <c r="AD40" s="2">
        <f t="shared" si="49"/>
        <v>1.2400800136574617</v>
      </c>
      <c r="AF40" s="2">
        <f t="shared" si="50"/>
        <v>5.9086067404999998E-2</v>
      </c>
      <c r="AG40" s="2">
        <f t="shared" si="66"/>
        <v>49326.773096887831</v>
      </c>
      <c r="AH40" s="2">
        <f t="shared" si="51"/>
        <v>3.091358119699994E-2</v>
      </c>
      <c r="AI40" s="2">
        <f t="shared" si="52"/>
        <v>6.0459722911138949E-2</v>
      </c>
      <c r="AJ40" s="2">
        <f t="shared" si="67"/>
        <v>48300.506219126815</v>
      </c>
      <c r="AK40" s="2">
        <f t="shared" si="53"/>
        <v>1456.0770150470319</v>
      </c>
      <c r="AL40" s="2">
        <f t="shared" si="54"/>
        <v>19783.343230078499</v>
      </c>
      <c r="AM40" s="2">
        <f t="shared" si="55"/>
        <v>19371.741403854674</v>
      </c>
      <c r="AN40" s="2">
        <f>SUM(AL40:AL63)</f>
        <v>160492.76470450152</v>
      </c>
      <c r="AO40" s="2">
        <f>SUM(AM40:AM63)</f>
        <v>155587.51507685767</v>
      </c>
      <c r="AP40" s="2">
        <f t="shared" si="56"/>
        <v>1</v>
      </c>
      <c r="AQ40" s="2">
        <f t="shared" si="57"/>
        <v>576.81878333521377</v>
      </c>
      <c r="AR40" s="2">
        <f>SUMPRODUCT(AP40:AP62,AQ40:AQ62)</f>
        <v>5729.447444362756</v>
      </c>
      <c r="AS40" s="2">
        <f>IF(AL40=0,0,((AR40+(betaPrime*(AN40-AN63)))-(($BC$18*(AO40-AO23))*(D40&lt;=$BC$4)))/AL40)</f>
        <v>0.29771529293981291</v>
      </c>
      <c r="AT40" s="4">
        <f t="shared" si="58"/>
        <v>29772</v>
      </c>
      <c r="AU40" s="2">
        <f t="shared" si="59"/>
        <v>0</v>
      </c>
      <c r="AV40" s="2">
        <f t="shared" si="60"/>
        <v>0.29771529293981291</v>
      </c>
      <c r="AW40" s="2">
        <f t="shared" si="61"/>
        <v>0.29771529293981291</v>
      </c>
      <c r="AX40" s="2">
        <f t="shared" si="62"/>
        <v>0.38981870774519278</v>
      </c>
      <c r="AY40" s="2">
        <f t="shared" si="63"/>
        <v>0.76372756623680615</v>
      </c>
    </row>
    <row r="41" spans="4:51" x14ac:dyDescent="0.45">
      <c r="D41" s="1">
        <v>38</v>
      </c>
      <c r="E41" s="1">
        <f t="shared" si="34"/>
        <v>78</v>
      </c>
      <c r="F41" s="3">
        <v>3.347E-2</v>
      </c>
      <c r="G41" s="3">
        <v>1.4779999999999999E-3</v>
      </c>
      <c r="H41" s="3">
        <v>3.1297999999999999E-2</v>
      </c>
      <c r="I41" s="3">
        <f t="shared" si="35"/>
        <v>0.39128492402250747</v>
      </c>
      <c r="J41" s="3">
        <f t="shared" si="36"/>
        <v>0.38648370017981698</v>
      </c>
      <c r="K41" s="2">
        <f t="shared" si="37"/>
        <v>3.4923265670000002E-2</v>
      </c>
      <c r="L41" s="2">
        <f t="shared" si="64"/>
        <v>69218.977503996866</v>
      </c>
      <c r="M41" s="2">
        <f t="shared" si="38"/>
        <v>3.2729741556000058E-2</v>
      </c>
      <c r="N41" s="2">
        <f t="shared" si="39"/>
        <v>6.5652009331060399E-2</v>
      </c>
      <c r="O41" s="2">
        <f t="shared" si="65"/>
        <v>45380.270996650659</v>
      </c>
      <c r="P41" s="2">
        <f t="shared" si="40"/>
        <v>2417.3527407778361</v>
      </c>
      <c r="Q41" s="2">
        <f t="shared" si="41"/>
        <v>27084.342353567066</v>
      </c>
      <c r="R41" s="2">
        <f t="shared" si="42"/>
        <v>17756.615889045253</v>
      </c>
      <c r="S41" s="2">
        <f>SUM(Q41:Q74)</f>
        <v>257665.57277856712</v>
      </c>
      <c r="T41" s="2">
        <f>SUM(R41:R74)</f>
        <v>136368.35924271739</v>
      </c>
      <c r="U41" s="2">
        <f>1</f>
        <v>1</v>
      </c>
      <c r="V41" s="2">
        <f t="shared" si="43"/>
        <v>934.26743189564002</v>
      </c>
      <c r="W41" s="2">
        <f>SUMPRODUCT(U41:U73,V41:V73)</f>
        <v>21058.208905341948</v>
      </c>
      <c r="X41" s="2">
        <f>IF(Q41=0,0,((W41+(betaPrime*(S41-S74)))-(($BB$18*(T41-T23))*(D41&lt;=$BB$4)))/Q41)</f>
        <v>0.7870183517789261</v>
      </c>
      <c r="Y41" s="4">
        <f t="shared" si="44"/>
        <v>78702</v>
      </c>
      <c r="Z41" s="2">
        <f t="shared" si="45"/>
        <v>0</v>
      </c>
      <c r="AA41" s="2">
        <f t="shared" si="46"/>
        <v>0.7870183517789261</v>
      </c>
      <c r="AB41" s="2">
        <f t="shared" si="47"/>
        <v>0.7870183517789261</v>
      </c>
      <c r="AC41" s="2">
        <f t="shared" si="48"/>
        <v>0.62555112702547333</v>
      </c>
      <c r="AD41" s="2">
        <f t="shared" si="49"/>
        <v>1.2581199485983463</v>
      </c>
      <c r="AF41" s="2">
        <f t="shared" si="50"/>
        <v>6.4244227969999998E-2</v>
      </c>
      <c r="AG41" s="2">
        <f t="shared" si="66"/>
        <v>46412.24805681398</v>
      </c>
      <c r="AH41" s="2">
        <f t="shared" si="51"/>
        <v>3.2729741556000058E-2</v>
      </c>
      <c r="AI41" s="2">
        <f t="shared" si="52"/>
        <v>6.5652009331060399E-2</v>
      </c>
      <c r="AJ41" s="2">
        <f t="shared" si="67"/>
        <v>45380.270996650659</v>
      </c>
      <c r="AK41" s="2">
        <f t="shared" si="53"/>
        <v>1452.610539682164</v>
      </c>
      <c r="AL41" s="2">
        <f t="shared" si="54"/>
        <v>18160.412954624229</v>
      </c>
      <c r="AM41" s="2">
        <f t="shared" si="55"/>
        <v>17756.615889045253</v>
      </c>
      <c r="AN41" s="2">
        <f>SUM(AL41:AL63)</f>
        <v>140709.42147442303</v>
      </c>
      <c r="AO41" s="2">
        <f>SUM(AM41:AM63)</f>
        <v>136215.77367300299</v>
      </c>
      <c r="AP41" s="2">
        <f t="shared" si="56"/>
        <v>1</v>
      </c>
      <c r="AQ41" s="2">
        <f t="shared" si="57"/>
        <v>561.41029629656362</v>
      </c>
      <c r="AR41" s="2">
        <f>SUMPRODUCT(AP41:AP62,AQ41:AQ62)</f>
        <v>5152.628661027542</v>
      </c>
      <c r="AS41" s="2">
        <f>IF(AL41=0,0,((AR41+(betaPrime*(AN41-AN63)))-(($BC$18*(AO41-AO23))*(D41&lt;=$BC$4)))/AL41)</f>
        <v>0.29146923650536111</v>
      </c>
      <c r="AT41" s="4">
        <f t="shared" si="58"/>
        <v>29147</v>
      </c>
      <c r="AU41" s="2">
        <f t="shared" si="59"/>
        <v>0</v>
      </c>
      <c r="AV41" s="2">
        <f t="shared" si="60"/>
        <v>0.29146923650536111</v>
      </c>
      <c r="AW41" s="2">
        <f t="shared" si="61"/>
        <v>0.29146923650536111</v>
      </c>
      <c r="AX41" s="2">
        <f t="shared" si="62"/>
        <v>0.38981870774519278</v>
      </c>
      <c r="AY41" s="2">
        <f t="shared" si="63"/>
        <v>0.74770458860553612</v>
      </c>
    </row>
    <row r="42" spans="4:51" x14ac:dyDescent="0.45">
      <c r="D42" s="1">
        <v>39</v>
      </c>
      <c r="E42" s="1">
        <f t="shared" si="34"/>
        <v>79</v>
      </c>
      <c r="F42" s="3">
        <v>3.7589999999999998E-2</v>
      </c>
      <c r="G42" s="3">
        <v>1.519E-3</v>
      </c>
      <c r="H42" s="3">
        <v>3.3236000000000002E-2</v>
      </c>
      <c r="I42" s="3">
        <f t="shared" si="35"/>
        <v>0.3817413892902512</v>
      </c>
      <c r="J42" s="3">
        <f t="shared" si="36"/>
        <v>0.3770572684681141</v>
      </c>
      <c r="K42" s="2">
        <f t="shared" si="37"/>
        <v>3.9080450395000001E-2</v>
      </c>
      <c r="L42" s="2">
        <f t="shared" si="64"/>
        <v>66801.624763219021</v>
      </c>
      <c r="M42" s="2">
        <f t="shared" si="38"/>
        <v>3.4704514516000096E-2</v>
      </c>
      <c r="N42" s="2">
        <f t="shared" si="39"/>
        <v>7.1642243165671873E-2</v>
      </c>
      <c r="O42" s="2">
        <f t="shared" si="65"/>
        <v>42400.965021732503</v>
      </c>
      <c r="P42" s="2">
        <f t="shared" si="40"/>
        <v>2610.6375828643845</v>
      </c>
      <c r="Q42" s="2">
        <f t="shared" si="41"/>
        <v>25500.945043957276</v>
      </c>
      <c r="R42" s="2">
        <f t="shared" si="42"/>
        <v>16186.203294643512</v>
      </c>
      <c r="S42" s="2">
        <f>SUM(Q42:Q74)</f>
        <v>230581.2304250001</v>
      </c>
      <c r="T42" s="2">
        <f>SUM(R42:R74)</f>
        <v>118611.74335367217</v>
      </c>
      <c r="U42" s="2">
        <f>1</f>
        <v>1</v>
      </c>
      <c r="V42" s="2">
        <f t="shared" si="43"/>
        <v>984.35987595504469</v>
      </c>
      <c r="W42" s="2">
        <f>SUMPRODUCT(U42:U73,V42:V73)</f>
        <v>20123.941473446313</v>
      </c>
      <c r="X42" s="2">
        <f>IF(Q42=0,0,((W42+(betaPrime*(S42-S74)))-(($BB$18*(T42-T23))*(D42&lt;=$BB$4)))/Q42)</f>
        <v>0.79818699537547289</v>
      </c>
      <c r="Y42" s="4">
        <f t="shared" si="44"/>
        <v>79819</v>
      </c>
      <c r="Z42" s="2">
        <f t="shared" si="45"/>
        <v>0</v>
      </c>
      <c r="AA42" s="2">
        <f t="shared" si="46"/>
        <v>0.79818699537547289</v>
      </c>
      <c r="AB42" s="2">
        <f t="shared" si="47"/>
        <v>0.79818699537547289</v>
      </c>
      <c r="AC42" s="2">
        <f t="shared" si="48"/>
        <v>0.62555112702547333</v>
      </c>
      <c r="AD42" s="2">
        <f t="shared" si="49"/>
        <v>1.2759740345619577</v>
      </c>
      <c r="AF42" s="2">
        <f t="shared" si="50"/>
        <v>7.0201329379999997E-2</v>
      </c>
      <c r="AG42" s="2">
        <f t="shared" si="66"/>
        <v>43430.529012051833</v>
      </c>
      <c r="AH42" s="2">
        <f t="shared" si="51"/>
        <v>3.4704514516000096E-2</v>
      </c>
      <c r="AI42" s="2">
        <f t="shared" si="52"/>
        <v>7.1642243165671873E-2</v>
      </c>
      <c r="AJ42" s="2">
        <f t="shared" si="67"/>
        <v>42400.965021732503</v>
      </c>
      <c r="AK42" s="2">
        <f t="shared" si="53"/>
        <v>1443.4570622445549</v>
      </c>
      <c r="AL42" s="2">
        <f t="shared" si="54"/>
        <v>16579.230482671228</v>
      </c>
      <c r="AM42" s="2">
        <f t="shared" si="55"/>
        <v>16186.203294643512</v>
      </c>
      <c r="AN42" s="2">
        <f>SUM(AL42:AL63)</f>
        <v>122549.00851979882</v>
      </c>
      <c r="AO42" s="2">
        <f>SUM(AM42:AM63)</f>
        <v>118459.15778395781</v>
      </c>
      <c r="AP42" s="2">
        <f t="shared" si="56"/>
        <v>1</v>
      </c>
      <c r="AQ42" s="2">
        <f t="shared" si="57"/>
        <v>544.26597704094047</v>
      </c>
      <c r="AR42" s="2">
        <f>SUMPRODUCT(AP42:AP62,AQ42:AQ62)</f>
        <v>4591.2183647309785</v>
      </c>
      <c r="AS42" s="2">
        <f>IF(AL42=0,0,((AR42+(betaPrime*(AN42-AN63)))-(($BC$18*(AO42-AO23))*(D42&lt;=$BC$4)))/AL42)</f>
        <v>0.28430939507005087</v>
      </c>
      <c r="AT42" s="4">
        <f t="shared" si="58"/>
        <v>28431</v>
      </c>
      <c r="AU42" s="2">
        <f t="shared" si="59"/>
        <v>0</v>
      </c>
      <c r="AV42" s="2">
        <f t="shared" si="60"/>
        <v>0.28430939507005087</v>
      </c>
      <c r="AW42" s="2">
        <f t="shared" si="61"/>
        <v>0.28430939507005087</v>
      </c>
      <c r="AX42" s="2">
        <f t="shared" si="62"/>
        <v>0.38981870774519278</v>
      </c>
      <c r="AY42" s="2">
        <f t="shared" si="63"/>
        <v>0.72933748283802569</v>
      </c>
    </row>
    <row r="43" spans="4:51" x14ac:dyDescent="0.45">
      <c r="D43" s="1">
        <v>40</v>
      </c>
      <c r="E43" s="1">
        <f t="shared" si="34"/>
        <v>80</v>
      </c>
      <c r="F43" s="3">
        <v>4.231E-2</v>
      </c>
      <c r="G43" s="3">
        <v>1.57E-3</v>
      </c>
      <c r="H43" s="3">
        <v>3.5185000000000001E-2</v>
      </c>
      <c r="I43" s="3">
        <f t="shared" si="35"/>
        <v>0.37243062369780605</v>
      </c>
      <c r="J43" s="3">
        <f t="shared" si="36"/>
        <v>0.36786074972498944</v>
      </c>
      <c r="K43" s="2">
        <f t="shared" si="37"/>
        <v>4.3846786650000004E-2</v>
      </c>
      <c r="L43" s="2">
        <f t="shared" si="64"/>
        <v>64190.987180354641</v>
      </c>
      <c r="M43" s="2">
        <f t="shared" si="38"/>
        <v>3.6699759549999933E-2</v>
      </c>
      <c r="N43" s="2">
        <f t="shared" si="39"/>
        <v>7.8233376136719684E-2</v>
      </c>
      <c r="O43" s="2">
        <f t="shared" si="65"/>
        <v>39363.264775186391</v>
      </c>
      <c r="P43" s="2">
        <f t="shared" si="40"/>
        <v>2814.5685197498951</v>
      </c>
      <c r="Q43" s="2">
        <f t="shared" si="41"/>
        <v>23906.689391357351</v>
      </c>
      <c r="R43" s="2">
        <f t="shared" si="42"/>
        <v>14660.085251004548</v>
      </c>
      <c r="S43" s="2">
        <f>SUM(Q43:Q74)</f>
        <v>205080.28538104278</v>
      </c>
      <c r="T43" s="2">
        <f>SUM(R43:R74)</f>
        <v>102425.54005902864</v>
      </c>
      <c r="U43" s="2">
        <f>1</f>
        <v>1</v>
      </c>
      <c r="V43" s="2">
        <f t="shared" si="43"/>
        <v>1035.3692858275501</v>
      </c>
      <c r="W43" s="2">
        <f>SUMPRODUCT(U43:U73,V43:V73)</f>
        <v>19139.581597491266</v>
      </c>
      <c r="X43" s="2">
        <f>IF(Q43=0,0,((W43+(betaPrime*(S43-S74)))-(($BB$18*(T43-T23))*(D43&lt;=$BB$4)))/Q43)</f>
        <v>0.8091735984935543</v>
      </c>
      <c r="Y43" s="4">
        <f t="shared" si="44"/>
        <v>80917</v>
      </c>
      <c r="Z43" s="2">
        <f t="shared" si="45"/>
        <v>0</v>
      </c>
      <c r="AA43" s="2">
        <f t="shared" si="46"/>
        <v>0.8091735984935543</v>
      </c>
      <c r="AB43" s="2">
        <f t="shared" si="47"/>
        <v>0.8091735984935543</v>
      </c>
      <c r="AC43" s="2">
        <f t="shared" si="48"/>
        <v>0.62555112702547333</v>
      </c>
      <c r="AD43" s="2">
        <f t="shared" si="49"/>
        <v>1.2935371123719575</v>
      </c>
      <c r="AF43" s="2">
        <f t="shared" si="50"/>
        <v>7.6750661325000011E-2</v>
      </c>
      <c r="AG43" s="2">
        <f t="shared" si="66"/>
        <v>40381.648139729135</v>
      </c>
      <c r="AH43" s="2">
        <f t="shared" si="51"/>
        <v>3.6699759549999933E-2</v>
      </c>
      <c r="AI43" s="2">
        <f t="shared" si="52"/>
        <v>7.8233376136719684E-2</v>
      </c>
      <c r="AJ43" s="2">
        <f t="shared" si="67"/>
        <v>39363.264775186391</v>
      </c>
      <c r="AK43" s="2">
        <f t="shared" si="53"/>
        <v>1420.8282897963697</v>
      </c>
      <c r="AL43" s="2">
        <f t="shared" si="54"/>
        <v>15039.362402624671</v>
      </c>
      <c r="AM43" s="2">
        <f t="shared" si="55"/>
        <v>14660.085251004548</v>
      </c>
      <c r="AN43" s="2">
        <f>SUM(AL43:AL63)</f>
        <v>105969.7780371276</v>
      </c>
      <c r="AO43" s="2">
        <f>SUM(AM43:AM63)</f>
        <v>102272.95448931429</v>
      </c>
      <c r="AP43" s="2">
        <f t="shared" si="56"/>
        <v>1</v>
      </c>
      <c r="AQ43" s="2">
        <f t="shared" si="57"/>
        <v>522.66695991496715</v>
      </c>
      <c r="AR43" s="2">
        <f>SUMPRODUCT(AP43:AP62,AQ43:AQ62)</f>
        <v>4046.9523876900362</v>
      </c>
      <c r="AS43" s="2">
        <f>IF(AL43=0,0,((AR43+(betaPrime*(AN43-AN63)))-(($BC$18*(AO43-AO23))*(D43&lt;=$BC$4)))/AL43)</f>
        <v>0.27612778192025256</v>
      </c>
      <c r="AT43" s="4">
        <f t="shared" si="58"/>
        <v>27613</v>
      </c>
      <c r="AU43" s="2">
        <f t="shared" si="59"/>
        <v>0</v>
      </c>
      <c r="AV43" s="2">
        <f t="shared" si="60"/>
        <v>0.27612778192025256</v>
      </c>
      <c r="AW43" s="2">
        <f t="shared" si="61"/>
        <v>0.27612778192025256</v>
      </c>
      <c r="AX43" s="2">
        <f t="shared" si="62"/>
        <v>0.38981870774519278</v>
      </c>
      <c r="AY43" s="2">
        <f t="shared" si="63"/>
        <v>0.70834923115271586</v>
      </c>
    </row>
    <row r="44" spans="4:51" x14ac:dyDescent="0.45">
      <c r="D44" s="1">
        <v>41</v>
      </c>
      <c r="E44" s="1">
        <f t="shared" si="34"/>
        <v>81</v>
      </c>
      <c r="F44" s="3">
        <v>4.7710000000000002E-2</v>
      </c>
      <c r="G44" s="3">
        <v>1.601E-3</v>
      </c>
      <c r="H44" s="3">
        <v>3.6922999999999997E-2</v>
      </c>
      <c r="I44" s="3">
        <f t="shared" si="35"/>
        <v>0.36334694994907912</v>
      </c>
      <c r="J44" s="3">
        <f t="shared" si="36"/>
        <v>0.35888853631706291</v>
      </c>
      <c r="K44" s="2">
        <f t="shared" si="37"/>
        <v>4.9272808144999999E-2</v>
      </c>
      <c r="L44" s="2">
        <f t="shared" si="64"/>
        <v>61376.418660604751</v>
      </c>
      <c r="M44" s="2">
        <f t="shared" si="38"/>
        <v>3.8464886276999954E-2</v>
      </c>
      <c r="N44" s="2">
        <f t="shared" si="39"/>
        <v>8.5257306414862122E-2</v>
      </c>
      <c r="O44" s="2">
        <f t="shared" si="65"/>
        <v>36283.743676059945</v>
      </c>
      <c r="P44" s="2">
        <f t="shared" si="40"/>
        <v>3024.1885012911757</v>
      </c>
      <c r="Q44" s="2">
        <f t="shared" si="41"/>
        <v>22300.934519128481</v>
      </c>
      <c r="R44" s="2">
        <f t="shared" si="42"/>
        <v>13183.587597430569</v>
      </c>
      <c r="S44" s="2">
        <f>SUM(Q44:Q74)</f>
        <v>181173.59598968542</v>
      </c>
      <c r="T44" s="2">
        <f>SUM(R44:R74)</f>
        <v>87765.454808024122</v>
      </c>
      <c r="U44" s="2">
        <f>1</f>
        <v>1</v>
      </c>
      <c r="V44" s="2">
        <f t="shared" si="43"/>
        <v>1085.3465847752823</v>
      </c>
      <c r="W44" s="2">
        <f>SUMPRODUCT(U44:U73,V44:V73)</f>
        <v>18104.212311663716</v>
      </c>
      <c r="X44" s="2">
        <f>IF(Q44=0,0,((W44+(betaPrime*(S44-S74)))-(($BB$18*(T44-T23))*(D44&lt;=$BB$4)))/Q44)</f>
        <v>0.81993810133692968</v>
      </c>
      <c r="Y44" s="4">
        <f t="shared" si="44"/>
        <v>81994</v>
      </c>
      <c r="Z44" s="2">
        <f t="shared" si="45"/>
        <v>0</v>
      </c>
      <c r="AA44" s="2">
        <f t="shared" si="46"/>
        <v>0.81993810133692968</v>
      </c>
      <c r="AB44" s="2">
        <f t="shared" si="47"/>
        <v>0.81993810133692968</v>
      </c>
      <c r="AC44" s="2">
        <f t="shared" si="48"/>
        <v>0.62555112702547333</v>
      </c>
      <c r="AD44" s="2">
        <f t="shared" si="49"/>
        <v>1.310745142824338</v>
      </c>
      <c r="AF44" s="2">
        <f t="shared" si="50"/>
        <v>8.3752201834999998E-2</v>
      </c>
      <c r="AG44" s="2">
        <f t="shared" si="66"/>
        <v>37282.329939611467</v>
      </c>
      <c r="AH44" s="2">
        <f t="shared" si="51"/>
        <v>3.8464886276999954E-2</v>
      </c>
      <c r="AI44" s="2">
        <f t="shared" si="52"/>
        <v>8.5257306414862122E-2</v>
      </c>
      <c r="AJ44" s="2">
        <f t="shared" si="67"/>
        <v>36283.743676059945</v>
      </c>
      <c r="AK44" s="2">
        <f t="shared" si="53"/>
        <v>1376.575468360274</v>
      </c>
      <c r="AL44" s="2">
        <f t="shared" si="54"/>
        <v>13546.420870553062</v>
      </c>
      <c r="AM44" s="2">
        <f t="shared" si="55"/>
        <v>13183.587597430569</v>
      </c>
      <c r="AN44" s="2">
        <f>SUM(AL44:AL63)</f>
        <v>90930.415634502948</v>
      </c>
      <c r="AO44" s="2">
        <f>SUM(AM44:AM63)</f>
        <v>87612.869238309766</v>
      </c>
      <c r="AP44" s="2">
        <f t="shared" si="56"/>
        <v>1</v>
      </c>
      <c r="AQ44" s="2">
        <f t="shared" si="57"/>
        <v>494.03715496979407</v>
      </c>
      <c r="AR44" s="2">
        <f>SUMPRODUCT(AP44:AP62,AQ44:AQ62)</f>
        <v>3524.2854277750689</v>
      </c>
      <c r="AS44" s="2">
        <f>IF(AL44=0,0,((AR44+(betaPrime*(AN44-AN63)))-(($BC$18*(AO44-AO23))*(D44&lt;=$BC$4)))/AL44)</f>
        <v>0.2668660226903467</v>
      </c>
      <c r="AT44" s="4">
        <f t="shared" si="58"/>
        <v>26687</v>
      </c>
      <c r="AU44" s="2">
        <f t="shared" si="59"/>
        <v>0</v>
      </c>
      <c r="AV44" s="2">
        <f t="shared" si="60"/>
        <v>0.2668660226903467</v>
      </c>
      <c r="AW44" s="2">
        <f t="shared" si="61"/>
        <v>0.2668660226903467</v>
      </c>
      <c r="AX44" s="2">
        <f t="shared" si="62"/>
        <v>0.38981870774519278</v>
      </c>
      <c r="AY44" s="2">
        <f t="shared" si="63"/>
        <v>0.68459008607864247</v>
      </c>
    </row>
    <row r="45" spans="4:51" x14ac:dyDescent="0.45">
      <c r="D45" s="1">
        <v>42</v>
      </c>
      <c r="E45" s="1">
        <f t="shared" si="34"/>
        <v>82</v>
      </c>
      <c r="F45" s="3">
        <v>5.3960000000000001E-2</v>
      </c>
      <c r="G45" s="3">
        <v>1.637E-3</v>
      </c>
      <c r="H45" s="3">
        <v>3.8261999999999997E-2</v>
      </c>
      <c r="I45" s="3">
        <f t="shared" si="35"/>
        <v>0.3544848292186138</v>
      </c>
      <c r="J45" s="3">
        <f t="shared" si="36"/>
        <v>0.35013515738250039</v>
      </c>
      <c r="K45" s="2">
        <f t="shared" si="37"/>
        <v>5.5552833740000002E-2</v>
      </c>
      <c r="L45" s="2">
        <f t="shared" si="64"/>
        <v>58352.230159313578</v>
      </c>
      <c r="M45" s="2">
        <f t="shared" si="38"/>
        <v>3.9836365105999971E-2</v>
      </c>
      <c r="N45" s="2">
        <f t="shared" si="39"/>
        <v>9.2721579975440102E-2</v>
      </c>
      <c r="O45" s="2">
        <f t="shared" si="65"/>
        <v>33190.289423591792</v>
      </c>
      <c r="P45" s="2">
        <f t="shared" si="40"/>
        <v>3241.6317403985609</v>
      </c>
      <c r="Q45" s="2">
        <f t="shared" si="41"/>
        <v>20684.980342549519</v>
      </c>
      <c r="R45" s="2">
        <f t="shared" si="42"/>
        <v>11765.454078038299</v>
      </c>
      <c r="S45" s="2">
        <f>SUM(Q45:Q74)</f>
        <v>158872.66147055695</v>
      </c>
      <c r="T45" s="2">
        <f>SUM(R45:R74)</f>
        <v>74581.867210593555</v>
      </c>
      <c r="U45" s="2">
        <f>1</f>
        <v>1</v>
      </c>
      <c r="V45" s="2">
        <f t="shared" si="43"/>
        <v>1135.0092396005587</v>
      </c>
      <c r="W45" s="2">
        <f>SUMPRODUCT(U45:U73,V45:V73)</f>
        <v>17018.865726888427</v>
      </c>
      <c r="X45" s="2">
        <f>IF(Q45=0,0,((W45+(betaPrime*(S45-S74)))-(($BB$18*(T45-T23))*(D45&lt;=$BB$4)))/Q45)</f>
        <v>0.83044499457531262</v>
      </c>
      <c r="Y45" s="4">
        <f t="shared" si="44"/>
        <v>83044</v>
      </c>
      <c r="Z45" s="2">
        <f t="shared" si="45"/>
        <v>0</v>
      </c>
      <c r="AA45" s="2">
        <f t="shared" si="46"/>
        <v>0.83044499457531262</v>
      </c>
      <c r="AB45" s="2">
        <f t="shared" si="47"/>
        <v>0.83044499457531262</v>
      </c>
      <c r="AC45" s="2">
        <f t="shared" si="48"/>
        <v>0.62555112702547333</v>
      </c>
      <c r="AD45" s="2">
        <f t="shared" si="49"/>
        <v>1.3275413610460904</v>
      </c>
      <c r="AF45" s="2">
        <f t="shared" si="50"/>
        <v>9.1189691239999995E-2</v>
      </c>
      <c r="AG45" s="2">
        <f t="shared" si="66"/>
        <v>34159.852717630063</v>
      </c>
      <c r="AH45" s="2">
        <f t="shared" si="51"/>
        <v>3.9836365105999971E-2</v>
      </c>
      <c r="AI45" s="2">
        <f t="shared" si="52"/>
        <v>9.2721579975440102E-2</v>
      </c>
      <c r="AJ45" s="2">
        <f t="shared" si="67"/>
        <v>33190.289423591792</v>
      </c>
      <c r="AK45" s="2">
        <f t="shared" si="53"/>
        <v>1307.0242846819615</v>
      </c>
      <c r="AL45" s="2">
        <f t="shared" si="54"/>
        <v>12109.149556742093</v>
      </c>
      <c r="AM45" s="2">
        <f t="shared" si="55"/>
        <v>11765.454078038299</v>
      </c>
      <c r="AN45" s="2">
        <f>SUM(AL45:AL63)</f>
        <v>77383.994763949886</v>
      </c>
      <c r="AO45" s="2">
        <f>SUM(AM45:AM63)</f>
        <v>74429.281640879199</v>
      </c>
      <c r="AP45" s="2">
        <f t="shared" si="56"/>
        <v>1</v>
      </c>
      <c r="AQ45" s="2">
        <f t="shared" si="57"/>
        <v>457.63515361986856</v>
      </c>
      <c r="AR45" s="2">
        <f>SUMPRODUCT(AP45:AP62,AQ45:AQ62)</f>
        <v>3030.2482728052751</v>
      </c>
      <c r="AS45" s="2">
        <f>IF(AL45=0,0,((AR45+(betaPrime*(AN45-AN63)))-(($BC$18*(AO45-AO23))*(D45&lt;=$BC$4)))/AL45)</f>
        <v>0.25662379253078682</v>
      </c>
      <c r="AT45" s="4">
        <f t="shared" si="58"/>
        <v>25662</v>
      </c>
      <c r="AU45" s="2">
        <f t="shared" si="59"/>
        <v>0</v>
      </c>
      <c r="AV45" s="2">
        <f t="shared" si="60"/>
        <v>0.25662379253078682</v>
      </c>
      <c r="AW45" s="2">
        <f t="shared" si="61"/>
        <v>0.25662379253078682</v>
      </c>
      <c r="AX45" s="2">
        <f t="shared" si="62"/>
        <v>0.38981870774519278</v>
      </c>
      <c r="AY45" s="2">
        <f t="shared" si="63"/>
        <v>0.65831574378551994</v>
      </c>
    </row>
    <row r="46" spans="4:51" x14ac:dyDescent="0.45">
      <c r="D46" s="1">
        <v>43</v>
      </c>
      <c r="E46" s="1">
        <f t="shared" si="34"/>
        <v>83</v>
      </c>
      <c r="F46" s="3">
        <v>6.1100000000000002E-2</v>
      </c>
      <c r="G46" s="3">
        <v>1.6969999999999999E-3</v>
      </c>
      <c r="H46" s="3">
        <v>3.9146E-2</v>
      </c>
      <c r="I46" s="3">
        <f t="shared" si="35"/>
        <v>0.34583885777425738</v>
      </c>
      <c r="J46" s="3">
        <f t="shared" si="36"/>
        <v>0.34159527549512236</v>
      </c>
      <c r="K46" s="2">
        <f t="shared" si="37"/>
        <v>6.2745156650000009E-2</v>
      </c>
      <c r="L46" s="2">
        <f t="shared" si="64"/>
        <v>55110.598418915019</v>
      </c>
      <c r="M46" s="2">
        <f t="shared" si="38"/>
        <v>4.0776569237999993E-2</v>
      </c>
      <c r="N46" s="2">
        <f t="shared" si="39"/>
        <v>0.1006308450477791</v>
      </c>
      <c r="O46" s="2">
        <f t="shared" si="65"/>
        <v>30112.833348394222</v>
      </c>
      <c r="P46" s="2">
        <f t="shared" si="40"/>
        <v>3457.9231308700655</v>
      </c>
      <c r="Q46" s="2">
        <f t="shared" si="41"/>
        <v>19059.386408453363</v>
      </c>
      <c r="R46" s="2">
        <f t="shared" si="42"/>
        <v>10414.187889555224</v>
      </c>
      <c r="S46" s="2">
        <f>SUM(Q46:Q74)</f>
        <v>138187.68112800739</v>
      </c>
      <c r="T46" s="2">
        <f>SUM(R46:R74)</f>
        <v>62816.413132555201</v>
      </c>
      <c r="U46" s="2">
        <f>1</f>
        <v>1</v>
      </c>
      <c r="V46" s="2">
        <f t="shared" si="43"/>
        <v>1181.2102045305162</v>
      </c>
      <c r="W46" s="2">
        <f>SUMPRODUCT(U46:U73,V46:V73)</f>
        <v>15883.856487287871</v>
      </c>
      <c r="X46" s="2">
        <f>IF(Q46=0,0,((W46+(betaPrime*(S46-S74)))-(($BB$18*(T46-T23))*(D46&lt;=$BB$4)))/Q46)</f>
        <v>0.84063798409111745</v>
      </c>
      <c r="Y46" s="4">
        <f t="shared" si="44"/>
        <v>84064</v>
      </c>
      <c r="Z46" s="2">
        <f t="shared" si="45"/>
        <v>0</v>
      </c>
      <c r="AA46" s="2">
        <f t="shared" si="46"/>
        <v>0.84063798409111745</v>
      </c>
      <c r="AB46" s="2">
        <f t="shared" si="47"/>
        <v>0.84063798409111745</v>
      </c>
      <c r="AC46" s="2">
        <f t="shared" si="48"/>
        <v>0.62555112702547333</v>
      </c>
      <c r="AD46" s="2">
        <f t="shared" si="49"/>
        <v>1.3438357758036386</v>
      </c>
      <c r="AF46" s="2">
        <f t="shared" si="50"/>
        <v>9.9050089699999996E-2</v>
      </c>
      <c r="AG46" s="2">
        <f t="shared" si="66"/>
        <v>31044.826295505503</v>
      </c>
      <c r="AH46" s="2">
        <f t="shared" si="51"/>
        <v>4.0776569237999993E-2</v>
      </c>
      <c r="AI46" s="2">
        <f t="shared" si="52"/>
        <v>0.1006308450477791</v>
      </c>
      <c r="AJ46" s="2">
        <f t="shared" si="67"/>
        <v>30112.833348394222</v>
      </c>
      <c r="AK46" s="2">
        <f t="shared" si="53"/>
        <v>1215.2807701638585</v>
      </c>
      <c r="AL46" s="2">
        <f t="shared" si="54"/>
        <v>10736.507265837854</v>
      </c>
      <c r="AM46" s="2">
        <f t="shared" si="55"/>
        <v>10414.187889555224</v>
      </c>
      <c r="AN46" s="2">
        <f>SUM(AL46:AL63)</f>
        <v>65274.845207207785</v>
      </c>
      <c r="AO46" s="2">
        <f>SUM(AM46:AM63)</f>
        <v>62663.827562840852</v>
      </c>
      <c r="AP46" s="2">
        <f t="shared" si="56"/>
        <v>1</v>
      </c>
      <c r="AQ46" s="2">
        <f t="shared" si="57"/>
        <v>415.13416948804775</v>
      </c>
      <c r="AR46" s="2">
        <f>SUMPRODUCT(AP46:AP62,AQ46:AQ62)</f>
        <v>2572.613119185406</v>
      </c>
      <c r="AS46" s="2">
        <f>IF(AL46=0,0,((AR46+(betaPrime*(AN46-AN63)))-(($BC$18*(AO46-AO23))*(D46&lt;=$BC$4)))/AL46)</f>
        <v>0.24568060311289669</v>
      </c>
      <c r="AT46" s="4">
        <f t="shared" si="58"/>
        <v>24568</v>
      </c>
      <c r="AU46" s="2">
        <f t="shared" si="59"/>
        <v>0</v>
      </c>
      <c r="AV46" s="2">
        <f t="shared" si="60"/>
        <v>0.24568060311289669</v>
      </c>
      <c r="AW46" s="2">
        <f t="shared" si="61"/>
        <v>0.24568060311289669</v>
      </c>
      <c r="AX46" s="2">
        <f t="shared" si="62"/>
        <v>0.38981870774519278</v>
      </c>
      <c r="AY46" s="2">
        <f t="shared" si="63"/>
        <v>0.63024323417922568</v>
      </c>
    </row>
    <row r="47" spans="4:51" x14ac:dyDescent="0.45">
      <c r="D47" s="1">
        <v>44</v>
      </c>
      <c r="E47" s="1">
        <f t="shared" si="34"/>
        <v>84</v>
      </c>
      <c r="F47" s="3">
        <v>6.905E-2</v>
      </c>
      <c r="G47" s="3">
        <v>1.805E-3</v>
      </c>
      <c r="H47" s="3">
        <v>3.9649999999999998E-2</v>
      </c>
      <c r="I47" s="3">
        <f t="shared" si="35"/>
        <v>0.33740376368220237</v>
      </c>
      <c r="J47" s="3">
        <f t="shared" si="36"/>
        <v>0.33326368340987556</v>
      </c>
      <c r="K47" s="2">
        <f t="shared" si="37"/>
        <v>7.0792682374999999E-2</v>
      </c>
      <c r="L47" s="2">
        <f t="shared" si="64"/>
        <v>51652.675288044949</v>
      </c>
      <c r="M47" s="2">
        <f t="shared" si="38"/>
        <v>4.1383431749999922E-2</v>
      </c>
      <c r="N47" s="2">
        <f t="shared" si="39"/>
        <v>0.10900466876883118</v>
      </c>
      <c r="O47" s="2">
        <f t="shared" si="65"/>
        <v>27082.55348176237</v>
      </c>
      <c r="P47" s="2">
        <f t="shared" si="40"/>
        <v>3656.6314354855776</v>
      </c>
      <c r="Q47" s="2">
        <f t="shared" si="41"/>
        <v>17427.807046441052</v>
      </c>
      <c r="R47" s="2">
        <f t="shared" si="42"/>
        <v>9137.7554748711573</v>
      </c>
      <c r="S47" s="2">
        <f>SUM(Q47:Q74)</f>
        <v>119128.29471955403</v>
      </c>
      <c r="T47" s="2">
        <f>SUM(R47:R74)</f>
        <v>52402.225242999972</v>
      </c>
      <c r="U47" s="2">
        <f>1</f>
        <v>1</v>
      </c>
      <c r="V47" s="2">
        <f t="shared" si="43"/>
        <v>1218.6224610622644</v>
      </c>
      <c r="W47" s="2">
        <f>SUMPRODUCT(U47:U73,V47:V73)</f>
        <v>14702.646282757352</v>
      </c>
      <c r="X47" s="2">
        <f>IF(Q47=0,0,((W47+(betaPrime*(S47-S74)))-(($BB$18*(T47-T23))*(D47&lt;=$BB$4)))/Q47)</f>
        <v>0.85046698864523373</v>
      </c>
      <c r="Y47" s="4">
        <f t="shared" si="44"/>
        <v>85047</v>
      </c>
      <c r="Z47" s="2">
        <f t="shared" si="45"/>
        <v>0</v>
      </c>
      <c r="AA47" s="2">
        <f t="shared" si="46"/>
        <v>0.85046698864523373</v>
      </c>
      <c r="AB47" s="2">
        <f t="shared" si="47"/>
        <v>0.85046698864523373</v>
      </c>
      <c r="AC47" s="2">
        <f t="shared" si="48"/>
        <v>0.62555112702547333</v>
      </c>
      <c r="AD47" s="2">
        <f t="shared" si="49"/>
        <v>1.3595483277110323</v>
      </c>
      <c r="AF47" s="2">
        <f t="shared" si="50"/>
        <v>0.10733108374999999</v>
      </c>
      <c r="AG47" s="2">
        <f t="shared" si="66"/>
        <v>27969.833466214764</v>
      </c>
      <c r="AH47" s="2">
        <f t="shared" si="51"/>
        <v>4.1383431749999922E-2</v>
      </c>
      <c r="AI47" s="2">
        <f t="shared" si="52"/>
        <v>0.10900466876883118</v>
      </c>
      <c r="AJ47" s="2">
        <f t="shared" si="67"/>
        <v>27082.55348176237</v>
      </c>
      <c r="AK47" s="2">
        <f t="shared" si="53"/>
        <v>1109.0038969354152</v>
      </c>
      <c r="AL47" s="2">
        <f t="shared" si="54"/>
        <v>9437.1270810652823</v>
      </c>
      <c r="AM47" s="2">
        <f t="shared" si="55"/>
        <v>9137.7554748711573</v>
      </c>
      <c r="AN47" s="2">
        <f>SUM(AL47:AL63)</f>
        <v>54538.337941369937</v>
      </c>
      <c r="AO47" s="2">
        <f>SUM(AM47:AM63)</f>
        <v>52249.639673285623</v>
      </c>
      <c r="AP47" s="2">
        <f t="shared" si="56"/>
        <v>1</v>
      </c>
      <c r="AQ47" s="2">
        <f t="shared" si="57"/>
        <v>369.5907236086025</v>
      </c>
      <c r="AR47" s="2">
        <f>SUMPRODUCT(AP47:AP62,AQ47:AQ62)</f>
        <v>2157.478949697359</v>
      </c>
      <c r="AS47" s="2">
        <f>IF(AL47=0,0,((AR47+(betaPrime*(AN47-AN63)))-(($BC$18*(AO47-AO23))*(D47&lt;=$BC$4)))/AL47)</f>
        <v>0.23438074793769489</v>
      </c>
      <c r="AT47" s="4">
        <f t="shared" si="58"/>
        <v>23438</v>
      </c>
      <c r="AU47" s="2">
        <f t="shared" si="59"/>
        <v>0</v>
      </c>
      <c r="AV47" s="2">
        <f t="shared" si="60"/>
        <v>0.23438074793769489</v>
      </c>
      <c r="AW47" s="2">
        <f t="shared" si="61"/>
        <v>0.23438074793769489</v>
      </c>
      <c r="AX47" s="2">
        <f t="shared" si="62"/>
        <v>0.38981870774519278</v>
      </c>
      <c r="AY47" s="2">
        <f t="shared" si="63"/>
        <v>0.60125577167245448</v>
      </c>
    </row>
    <row r="48" spans="4:51" x14ac:dyDescent="0.45">
      <c r="D48" s="1">
        <v>45</v>
      </c>
      <c r="E48" s="1">
        <f t="shared" si="34"/>
        <v>85</v>
      </c>
      <c r="F48" s="3">
        <v>7.7729999999999994E-2</v>
      </c>
      <c r="G48" s="3">
        <v>1.98E-3</v>
      </c>
      <c r="H48" s="3">
        <v>3.9917000000000001E-2</v>
      </c>
      <c r="I48" s="3">
        <f t="shared" si="35"/>
        <v>0.32917440359239253</v>
      </c>
      <c r="J48" s="3">
        <f t="shared" si="36"/>
        <v>0.32513530088768344</v>
      </c>
      <c r="K48" s="2">
        <f t="shared" si="37"/>
        <v>7.9633047299999996E-2</v>
      </c>
      <c r="L48" s="2">
        <f t="shared" si="64"/>
        <v>47996.043852559371</v>
      </c>
      <c r="M48" s="2">
        <f t="shared" si="38"/>
        <v>4.1817964339999958E-2</v>
      </c>
      <c r="N48" s="2">
        <f t="shared" si="39"/>
        <v>0.11792270915592586</v>
      </c>
      <c r="O48" s="2">
        <f t="shared" si="65"/>
        <v>24130.428710068707</v>
      </c>
      <c r="P48" s="2">
        <f t="shared" si="40"/>
        <v>3822.0712303237342</v>
      </c>
      <c r="Q48" s="2">
        <f t="shared" si="41"/>
        <v>15799.069109960548</v>
      </c>
      <c r="R48" s="2">
        <f t="shared" si="42"/>
        <v>7943.1194790656127</v>
      </c>
      <c r="S48" s="2">
        <f>SUM(Q48:Q74)</f>
        <v>101700.48767311296</v>
      </c>
      <c r="T48" s="2">
        <f>SUM(R48:R74)</f>
        <v>43264.469768128816</v>
      </c>
      <c r="U48" s="2">
        <f>1</f>
        <v>1</v>
      </c>
      <c r="V48" s="2">
        <f t="shared" si="43"/>
        <v>1242.6902794854657</v>
      </c>
      <c r="W48" s="2">
        <f>SUMPRODUCT(U48:U73,V48:V73)</f>
        <v>13484.023821695089</v>
      </c>
      <c r="X48" s="2">
        <f>IF(Q48=0,0,((W48+(betaPrime*(S48-S74)))-(($BB$18*(T48-T23))*(D48&lt;=$BB$4)))/Q48)</f>
        <v>0.85990663214474206</v>
      </c>
      <c r="Y48" s="4">
        <f t="shared" si="44"/>
        <v>85991</v>
      </c>
      <c r="Z48" s="2">
        <f t="shared" si="45"/>
        <v>0</v>
      </c>
      <c r="AA48" s="2">
        <f t="shared" si="46"/>
        <v>0.85990663214474206</v>
      </c>
      <c r="AB48" s="2">
        <f t="shared" si="47"/>
        <v>0.85990663214474206</v>
      </c>
      <c r="AC48" s="2">
        <f t="shared" si="48"/>
        <v>0.62555112702547333</v>
      </c>
      <c r="AD48" s="2">
        <f t="shared" si="49"/>
        <v>1.3746384507908103</v>
      </c>
      <c r="AF48" s="2">
        <f t="shared" si="50"/>
        <v>0.116095625795</v>
      </c>
      <c r="AG48" s="2">
        <f t="shared" si="66"/>
        <v>24967.800927978915</v>
      </c>
      <c r="AH48" s="2">
        <f t="shared" si="51"/>
        <v>4.1817964339999958E-2</v>
      </c>
      <c r="AI48" s="2">
        <f t="shared" si="52"/>
        <v>0.11792270915592586</v>
      </c>
      <c r="AJ48" s="2">
        <f t="shared" si="67"/>
        <v>24130.428710068707</v>
      </c>
      <c r="AK48" s="2">
        <f t="shared" si="53"/>
        <v>996.63970964213433</v>
      </c>
      <c r="AL48" s="2">
        <f t="shared" si="54"/>
        <v>8218.7609794810433</v>
      </c>
      <c r="AM48" s="2">
        <f t="shared" si="55"/>
        <v>7943.1194790656127</v>
      </c>
      <c r="AN48" s="2">
        <f>SUM(AL48:AL63)</f>
        <v>45101.210860304651</v>
      </c>
      <c r="AO48" s="2">
        <f>SUM(AM48:AM63)</f>
        <v>43111.884198414467</v>
      </c>
      <c r="AP48" s="2">
        <f t="shared" si="56"/>
        <v>1</v>
      </c>
      <c r="AQ48" s="2">
        <f t="shared" si="57"/>
        <v>324.04275187110881</v>
      </c>
      <c r="AR48" s="2">
        <f>SUMPRODUCT(AP48:AP62,AQ48:AQ62)</f>
        <v>1787.8882260887563</v>
      </c>
      <c r="AS48" s="2">
        <f>IF(AL48=0,0,((AR48+(betaPrime*(AN48-AN63)))-(($BC$18*(AO48-AO23))*(D48&lt;=$BC$4)))/AL48)</f>
        <v>0.22300843856262384</v>
      </c>
      <c r="AT48" s="4">
        <f t="shared" si="58"/>
        <v>22301</v>
      </c>
      <c r="AU48" s="2">
        <f t="shared" si="59"/>
        <v>0</v>
      </c>
      <c r="AV48" s="2">
        <f t="shared" si="60"/>
        <v>0.22300843856262384</v>
      </c>
      <c r="AW48" s="2">
        <f t="shared" si="61"/>
        <v>0.22300843856262384</v>
      </c>
      <c r="AX48" s="2">
        <f t="shared" si="62"/>
        <v>0.38981870774519278</v>
      </c>
      <c r="AY48" s="2">
        <f t="shared" si="63"/>
        <v>0.57208244276566267</v>
      </c>
    </row>
    <row r="49" spans="4:51" x14ac:dyDescent="0.45">
      <c r="D49" s="1">
        <v>46</v>
      </c>
      <c r="E49" s="1">
        <f t="shared" si="34"/>
        <v>86</v>
      </c>
      <c r="F49" s="3">
        <v>8.7220000000000006E-2</v>
      </c>
      <c r="G49" s="3">
        <v>2.2239999999999998E-3</v>
      </c>
      <c r="H49" s="3">
        <v>4.0087999999999999E-2</v>
      </c>
      <c r="I49" s="3">
        <f t="shared" si="35"/>
        <v>0.32114575960233427</v>
      </c>
      <c r="J49" s="3">
        <f t="shared" si="36"/>
        <v>0.31720517159773998</v>
      </c>
      <c r="K49" s="2">
        <f t="shared" si="37"/>
        <v>8.9347011360000006E-2</v>
      </c>
      <c r="L49" s="2">
        <f t="shared" si="64"/>
        <v>44173.97262223564</v>
      </c>
      <c r="M49" s="2">
        <f t="shared" si="38"/>
        <v>4.222284428800005E-2</v>
      </c>
      <c r="N49" s="2">
        <f t="shared" si="39"/>
        <v>0.12760150604860038</v>
      </c>
      <c r="O49" s="2">
        <f t="shared" si="65"/>
        <v>21284.903183483471</v>
      </c>
      <c r="P49" s="2">
        <f t="shared" si="40"/>
        <v>3946.8124336952169</v>
      </c>
      <c r="Q49" s="2">
        <f t="shared" si="41"/>
        <v>14186.283992420582</v>
      </c>
      <c r="R49" s="2">
        <f t="shared" si="42"/>
        <v>6835.5564009219424</v>
      </c>
      <c r="S49" s="2">
        <f>SUM(Q49:Q74)</f>
        <v>85901.418563152401</v>
      </c>
      <c r="T49" s="2">
        <f>SUM(R49:R74)</f>
        <v>35321.350289063201</v>
      </c>
      <c r="U49" s="2">
        <f>1</f>
        <v>1</v>
      </c>
      <c r="V49" s="2">
        <f t="shared" si="43"/>
        <v>1251.9493152943851</v>
      </c>
      <c r="W49" s="2">
        <f>SUMPRODUCT(U49:U73,V49:V73)</f>
        <v>12241.333542209624</v>
      </c>
      <c r="X49" s="2">
        <f>IF(Q49=0,0,((W49+(betaPrime*(S49-S74)))-(($BB$18*(T49-T23))*(D49&lt;=$BB$4)))/Q49)</f>
        <v>0.86895447513661417</v>
      </c>
      <c r="Y49" s="4">
        <f t="shared" si="44"/>
        <v>86895</v>
      </c>
      <c r="Z49" s="2">
        <f t="shared" si="45"/>
        <v>0</v>
      </c>
      <c r="AA49" s="2">
        <f t="shared" si="46"/>
        <v>0.86895447513661417</v>
      </c>
      <c r="AB49" s="2">
        <f t="shared" si="47"/>
        <v>0.86895447513661417</v>
      </c>
      <c r="AC49" s="2">
        <f t="shared" si="48"/>
        <v>0.62555112702547333</v>
      </c>
      <c r="AD49" s="2">
        <f t="shared" si="49"/>
        <v>1.3891022453568838</v>
      </c>
      <c r="AF49" s="2">
        <f t="shared" si="50"/>
        <v>0.12555976232000002</v>
      </c>
      <c r="AG49" s="2">
        <f t="shared" si="66"/>
        <v>22069.148454520222</v>
      </c>
      <c r="AH49" s="2">
        <f t="shared" si="51"/>
        <v>4.222284428800005E-2</v>
      </c>
      <c r="AI49" s="2">
        <f t="shared" si="52"/>
        <v>0.12760150604860038</v>
      </c>
      <c r="AJ49" s="2">
        <f t="shared" si="67"/>
        <v>21284.903183483471</v>
      </c>
      <c r="AK49" s="2">
        <f t="shared" si="53"/>
        <v>884.70802324480667</v>
      </c>
      <c r="AL49" s="2">
        <f t="shared" si="54"/>
        <v>7087.4134442035784</v>
      </c>
      <c r="AM49" s="2">
        <f t="shared" si="55"/>
        <v>6835.5564009219424</v>
      </c>
      <c r="AN49" s="2">
        <f>SUM(AL49:AL63)</f>
        <v>36882.449880823609</v>
      </c>
      <c r="AO49" s="2">
        <f>SUM(AM49:AM63)</f>
        <v>35168.764719348852</v>
      </c>
      <c r="AP49" s="2">
        <f t="shared" si="56"/>
        <v>1</v>
      </c>
      <c r="AQ49" s="2">
        <f t="shared" si="57"/>
        <v>280.63396032726621</v>
      </c>
      <c r="AR49" s="2">
        <f>SUMPRODUCT(AP49:AP62,AQ49:AQ62)</f>
        <v>1463.8454742176475</v>
      </c>
      <c r="AS49" s="2">
        <f>IF(AL49=0,0,((AR49+(betaPrime*(AN49-AN63)))-(($BC$18*(AO49-AO23))*(D49&lt;=$BC$4)))/AL49)</f>
        <v>0.21172625978665788</v>
      </c>
      <c r="AT49" s="4">
        <f t="shared" si="58"/>
        <v>21173</v>
      </c>
      <c r="AU49" s="2">
        <f t="shared" si="59"/>
        <v>0</v>
      </c>
      <c r="AV49" s="2">
        <f t="shared" si="60"/>
        <v>0.21172625978665788</v>
      </c>
      <c r="AW49" s="2">
        <f t="shared" si="61"/>
        <v>0.21172625978665788</v>
      </c>
      <c r="AX49" s="2">
        <f t="shared" si="62"/>
        <v>0.38981870774519278</v>
      </c>
      <c r="AY49" s="2">
        <f t="shared" si="63"/>
        <v>0.54314032543829049</v>
      </c>
    </row>
    <row r="50" spans="4:51" x14ac:dyDescent="0.45">
      <c r="D50" s="1">
        <v>47</v>
      </c>
      <c r="E50" s="1">
        <f t="shared" si="34"/>
        <v>87</v>
      </c>
      <c r="F50" s="3">
        <v>9.7739999999999994E-2</v>
      </c>
      <c r="G50" s="3">
        <v>2.5330000000000001E-3</v>
      </c>
      <c r="H50" s="3">
        <v>4.0238999999999997E-2</v>
      </c>
      <c r="I50" s="3">
        <f t="shared" si="35"/>
        <v>0.31331293619739931</v>
      </c>
      <c r="J50" s="3">
        <f t="shared" si="36"/>
        <v>0.30946846009535617</v>
      </c>
      <c r="K50" s="2">
        <f t="shared" si="37"/>
        <v>0.10014921228999998</v>
      </c>
      <c r="L50" s="2">
        <f t="shared" si="64"/>
        <v>40227.160188540423</v>
      </c>
      <c r="M50" s="2">
        <f t="shared" si="38"/>
        <v>4.2670074612999986E-2</v>
      </c>
      <c r="N50" s="2">
        <f t="shared" si="39"/>
        <v>0.13832478806666268</v>
      </c>
      <c r="O50" s="2">
        <f t="shared" si="65"/>
        <v>18568.917481172331</v>
      </c>
      <c r="P50" s="2">
        <f t="shared" si="40"/>
        <v>4028.7184055459707</v>
      </c>
      <c r="Q50" s="2">
        <f t="shared" si="41"/>
        <v>12603.689673554727</v>
      </c>
      <c r="R50" s="2">
        <f t="shared" si="42"/>
        <v>5817.8820580333195</v>
      </c>
      <c r="S50" s="2">
        <f>SUM(Q50:Q74)</f>
        <v>71715.134570731825</v>
      </c>
      <c r="T50" s="2">
        <f>SUM(R50:R74)</f>
        <v>28485.793888141281</v>
      </c>
      <c r="U50" s="2">
        <f>1</f>
        <v>1</v>
      </c>
      <c r="V50" s="2">
        <f t="shared" si="43"/>
        <v>1246.7612811221302</v>
      </c>
      <c r="W50" s="2">
        <f>SUMPRODUCT(U50:U73,V50:V73)</f>
        <v>10989.384226915241</v>
      </c>
      <c r="X50" s="2">
        <f>IF(Q50=0,0,((W50+(betaPrime*(S50-S74)))-(($BB$18*(T50-T23))*(D50&lt;=$BB$4)))/Q50)</f>
        <v>0.87760803764429052</v>
      </c>
      <c r="Y50" s="4">
        <f t="shared" si="44"/>
        <v>87761</v>
      </c>
      <c r="Z50" s="2">
        <f t="shared" si="45"/>
        <v>0</v>
      </c>
      <c r="AA50" s="2">
        <f t="shared" si="46"/>
        <v>0.87760803764429052</v>
      </c>
      <c r="AB50" s="2">
        <f t="shared" si="47"/>
        <v>0.87760803764429052</v>
      </c>
      <c r="AC50" s="2">
        <f t="shared" si="48"/>
        <v>0.62555112702547333</v>
      </c>
      <c r="AD50" s="2">
        <f t="shared" si="49"/>
        <v>1.4029357469426365</v>
      </c>
      <c r="AF50" s="2">
        <f t="shared" si="50"/>
        <v>0.13601252007</v>
      </c>
      <c r="AG50" s="2">
        <f t="shared" si="66"/>
        <v>19298.151419965867</v>
      </c>
      <c r="AH50" s="2">
        <f t="shared" si="51"/>
        <v>4.2670074612999986E-2</v>
      </c>
      <c r="AI50" s="2">
        <f t="shared" si="52"/>
        <v>0.13832478806666268</v>
      </c>
      <c r="AJ50" s="2">
        <f t="shared" si="67"/>
        <v>18568.917481172331</v>
      </c>
      <c r="AK50" s="2">
        <f t="shared" si="53"/>
        <v>776.5383149880065</v>
      </c>
      <c r="AL50" s="2">
        <f t="shared" si="54"/>
        <v>6046.3604845715163</v>
      </c>
      <c r="AM50" s="2">
        <f t="shared" si="55"/>
        <v>5817.8820580333195</v>
      </c>
      <c r="AN50" s="2">
        <f>SUM(AL50:AL63)</f>
        <v>29795.036436620023</v>
      </c>
      <c r="AO50" s="2">
        <f>SUM(AM50:AM63)</f>
        <v>28333.208318426921</v>
      </c>
      <c r="AP50" s="2">
        <f t="shared" si="56"/>
        <v>1</v>
      </c>
      <c r="AQ50" s="2">
        <f t="shared" si="57"/>
        <v>240.31411654438102</v>
      </c>
      <c r="AR50" s="2">
        <f>SUMPRODUCT(AP50:AP62,AQ50:AQ62)</f>
        <v>1183.2115138903812</v>
      </c>
      <c r="AS50" s="2">
        <f>IF(AL50=0,0,((AR50+(betaPrime*(AN50-AN63)))-(($BC$18*(AO50-AO23))*(D50&lt;=$BC$4)))/AL50)</f>
        <v>0.20059508020176875</v>
      </c>
      <c r="AT50" s="4">
        <f t="shared" si="58"/>
        <v>20060</v>
      </c>
      <c r="AU50" s="2">
        <f t="shared" si="59"/>
        <v>0</v>
      </c>
      <c r="AV50" s="2">
        <f t="shared" si="60"/>
        <v>0.20059508020176875</v>
      </c>
      <c r="AW50" s="2">
        <f t="shared" si="61"/>
        <v>0.20059508020176875</v>
      </c>
      <c r="AX50" s="2">
        <f t="shared" si="62"/>
        <v>0.38981870774519278</v>
      </c>
      <c r="AY50" s="2">
        <f t="shared" si="63"/>
        <v>0.51458556558780877</v>
      </c>
    </row>
    <row r="51" spans="4:51" x14ac:dyDescent="0.45">
      <c r="D51" s="1">
        <v>48</v>
      </c>
      <c r="E51" s="1">
        <f t="shared" si="34"/>
        <v>88</v>
      </c>
      <c r="F51" s="3">
        <v>0.10926</v>
      </c>
      <c r="G51" s="3">
        <v>2.8909999999999999E-3</v>
      </c>
      <c r="H51" s="3">
        <v>4.0361000000000001E-2</v>
      </c>
      <c r="I51" s="3">
        <f t="shared" si="35"/>
        <v>0.30567115726575539</v>
      </c>
      <c r="J51" s="3">
        <f t="shared" si="36"/>
        <v>0.30192044887351821</v>
      </c>
      <c r="K51" s="2">
        <f t="shared" si="37"/>
        <v>0.11199306467</v>
      </c>
      <c r="L51" s="2">
        <f t="shared" si="64"/>
        <v>36198.44178299445</v>
      </c>
      <c r="M51" s="2">
        <f t="shared" si="38"/>
        <v>4.3135316348999919E-2</v>
      </c>
      <c r="N51" s="2">
        <f t="shared" si="39"/>
        <v>0.15003883401685406</v>
      </c>
      <c r="O51" s="2">
        <f t="shared" si="65"/>
        <v>16000.375905961821</v>
      </c>
      <c r="P51" s="2">
        <f t="shared" si="40"/>
        <v>4053.9744315561279</v>
      </c>
      <c r="Q51" s="2">
        <f t="shared" si="41"/>
        <v>11064.819591024987</v>
      </c>
      <c r="R51" s="2">
        <f t="shared" si="42"/>
        <v>4890.8534198624593</v>
      </c>
      <c r="S51" s="2">
        <f>SUM(Q51:Q74)</f>
        <v>59111.444897177076</v>
      </c>
      <c r="T51" s="2">
        <f>SUM(R51:R74)</f>
        <v>22667.911830107962</v>
      </c>
      <c r="U51" s="2">
        <f>1</f>
        <v>1</v>
      </c>
      <c r="V51" s="2">
        <f t="shared" si="43"/>
        <v>1223.977780097192</v>
      </c>
      <c r="W51" s="2">
        <f>SUMPRODUCT(U51:U73,V51:V73)</f>
        <v>9742.6229457931095</v>
      </c>
      <c r="X51" s="2">
        <f>IF(Q51=0,0,((W51+(betaPrime*(S51-S74)))-(($BB$18*(T51-T23))*(D51&lt;=$BB$4)))/Q51)</f>
        <v>0.88584674246661665</v>
      </c>
      <c r="Y51" s="4">
        <f t="shared" si="44"/>
        <v>88585</v>
      </c>
      <c r="Z51" s="2">
        <f t="shared" si="45"/>
        <v>0</v>
      </c>
      <c r="AA51" s="2">
        <f t="shared" si="46"/>
        <v>0.88584674246661665</v>
      </c>
      <c r="AB51" s="2">
        <f t="shared" si="47"/>
        <v>0.88584674246661665</v>
      </c>
      <c r="AC51" s="2">
        <f t="shared" si="48"/>
        <v>0.62555112702547333</v>
      </c>
      <c r="AD51" s="2">
        <f t="shared" si="49"/>
        <v>1.4161060610327119</v>
      </c>
      <c r="AF51" s="2">
        <f t="shared" si="50"/>
        <v>0.14741607857</v>
      </c>
      <c r="AG51" s="2">
        <f t="shared" si="66"/>
        <v>16673.36121264386</v>
      </c>
      <c r="AH51" s="2">
        <f t="shared" si="51"/>
        <v>4.3135316348999919E-2</v>
      </c>
      <c r="AI51" s="2">
        <f t="shared" si="52"/>
        <v>0.15003883401685406</v>
      </c>
      <c r="AJ51" s="2">
        <f t="shared" si="67"/>
        <v>16000.375905961821</v>
      </c>
      <c r="AK51" s="2">
        <f t="shared" si="53"/>
        <v>672.95353190351886</v>
      </c>
      <c r="AL51" s="2">
        <f t="shared" si="54"/>
        <v>5096.5656173788075</v>
      </c>
      <c r="AM51" s="2">
        <f t="shared" si="55"/>
        <v>4890.8534198624593</v>
      </c>
      <c r="AN51" s="2">
        <f>SUM(AL51:AL63)</f>
        <v>23748.675952048507</v>
      </c>
      <c r="AO51" s="2">
        <f>SUM(AM51:AM63)</f>
        <v>22515.326260393602</v>
      </c>
      <c r="AP51" s="2">
        <f t="shared" si="56"/>
        <v>1</v>
      </c>
      <c r="AQ51" s="2">
        <f t="shared" si="57"/>
        <v>203.17843242332987</v>
      </c>
      <c r="AR51" s="2">
        <f>SUMPRODUCT(AP51:AP62,AQ51:AQ62)</f>
        <v>942.89739734599993</v>
      </c>
      <c r="AS51" s="2">
        <f>IF(AL51=0,0,((AR51+(betaPrime*(AN51-AN63)))-(($BC$18*(AO51-AO23))*(D51&lt;=$BC$4)))/AL51)</f>
        <v>0.18963940854734981</v>
      </c>
      <c r="AT51" s="4">
        <f t="shared" si="58"/>
        <v>18964</v>
      </c>
      <c r="AU51" s="2">
        <f t="shared" si="59"/>
        <v>0</v>
      </c>
      <c r="AV51" s="2">
        <f t="shared" si="60"/>
        <v>0.18963940854734981</v>
      </c>
      <c r="AW51" s="2">
        <f t="shared" si="61"/>
        <v>0.18963940854734981</v>
      </c>
      <c r="AX51" s="2">
        <f t="shared" si="62"/>
        <v>0.38981870774519278</v>
      </c>
      <c r="AY51" s="2">
        <f t="shared" si="63"/>
        <v>0.48648103536197829</v>
      </c>
    </row>
    <row r="52" spans="4:51" x14ac:dyDescent="0.45">
      <c r="D52" s="1">
        <v>49</v>
      </c>
      <c r="E52" s="1">
        <f t="shared" si="34"/>
        <v>89</v>
      </c>
      <c r="F52" s="3">
        <v>0.12171</v>
      </c>
      <c r="G52" s="3">
        <v>3.2829999999999999E-3</v>
      </c>
      <c r="H52" s="3">
        <v>4.0418999999999997E-2</v>
      </c>
      <c r="I52" s="3">
        <f t="shared" si="35"/>
        <v>0.29821576318610282</v>
      </c>
      <c r="J52" s="3">
        <f t="shared" si="36"/>
        <v>0.29455653548635924</v>
      </c>
      <c r="K52" s="2">
        <f t="shared" si="37"/>
        <v>0.12479321303499999</v>
      </c>
      <c r="L52" s="2">
        <f t="shared" si="64"/>
        <v>32144.467351438321</v>
      </c>
      <c r="M52" s="2">
        <f t="shared" si="38"/>
        <v>4.3569304422999999E-2</v>
      </c>
      <c r="N52" s="2">
        <f t="shared" si="39"/>
        <v>0.16262789440233832</v>
      </c>
      <c r="O52" s="2">
        <f t="shared" si="65"/>
        <v>13599.698161199945</v>
      </c>
      <c r="P52" s="2">
        <f t="shared" si="40"/>
        <v>4011.4113620846442</v>
      </c>
      <c r="Q52" s="2">
        <f t="shared" si="41"/>
        <v>9585.9868634199447</v>
      </c>
      <c r="R52" s="2">
        <f t="shared" si="42"/>
        <v>4055.644366242881</v>
      </c>
      <c r="S52" s="2">
        <f>SUM(Q52:Q74)</f>
        <v>48046.625306152098</v>
      </c>
      <c r="T52" s="2">
        <f>SUM(R52:R74)</f>
        <v>17777.0584102455</v>
      </c>
      <c r="U52" s="2">
        <f>1</f>
        <v>1</v>
      </c>
      <c r="V52" s="2">
        <f t="shared" si="43"/>
        <v>1181.5874332262702</v>
      </c>
      <c r="W52" s="2">
        <f>SUMPRODUCT(U52:U73,V52:V73)</f>
        <v>8518.6451656959216</v>
      </c>
      <c r="X52" s="2">
        <f>IF(Q52=0,0,((W52+(betaPrime*(S52-S74)))-(($BB$18*(T52-T23))*(D52&lt;=$BB$4)))/Q52)</f>
        <v>0.89366821726957568</v>
      </c>
      <c r="Y52" s="4">
        <f t="shared" si="44"/>
        <v>89367</v>
      </c>
      <c r="Z52" s="2">
        <f t="shared" si="45"/>
        <v>0</v>
      </c>
      <c r="AA52" s="2">
        <f t="shared" si="46"/>
        <v>0.89366821726957568</v>
      </c>
      <c r="AB52" s="2">
        <f t="shared" si="47"/>
        <v>0.89366821726957568</v>
      </c>
      <c r="AC52" s="2">
        <f t="shared" si="48"/>
        <v>0.62555112702547333</v>
      </c>
      <c r="AD52" s="2">
        <f t="shared" si="49"/>
        <v>1.4286093952368248</v>
      </c>
      <c r="AF52" s="2">
        <f t="shared" si="50"/>
        <v>0.15966930175499999</v>
      </c>
      <c r="AG52" s="2">
        <f t="shared" si="66"/>
        <v>14215.439686094762</v>
      </c>
      <c r="AH52" s="2">
        <f t="shared" si="51"/>
        <v>4.3569304422999999E-2</v>
      </c>
      <c r="AI52" s="2">
        <f t="shared" si="52"/>
        <v>0.16262789440233832</v>
      </c>
      <c r="AJ52" s="2">
        <f t="shared" si="67"/>
        <v>13599.698161199945</v>
      </c>
      <c r="AK52" s="2">
        <f t="shared" si="53"/>
        <v>574.57385667226413</v>
      </c>
      <c r="AL52" s="2">
        <f t="shared" si="54"/>
        <v>4239.2681950147635</v>
      </c>
      <c r="AM52" s="2">
        <f t="shared" si="55"/>
        <v>4055.644366242881</v>
      </c>
      <c r="AN52" s="2">
        <f>SUM(AL52:AL63)</f>
        <v>18652.110334669702</v>
      </c>
      <c r="AO52" s="2">
        <f>SUM(AM52:AM63)</f>
        <v>17624.47284053114</v>
      </c>
      <c r="AP52" s="2">
        <f t="shared" si="56"/>
        <v>1</v>
      </c>
      <c r="AQ52" s="2">
        <f t="shared" si="57"/>
        <v>169.24448460241805</v>
      </c>
      <c r="AR52" s="2">
        <f>SUMPRODUCT(AP52:AP62,AQ52:AQ62)</f>
        <v>739.71896492267012</v>
      </c>
      <c r="AS52" s="2">
        <f>IF(AL52=0,0,((AR52+(betaPrime*(AN52-AN63)))-(($BC$18*(AO52-AO23))*(D52&lt;=$BC$4)))/AL52)</f>
        <v>0.1788598070189156</v>
      </c>
      <c r="AT52" s="4">
        <f t="shared" si="58"/>
        <v>17886</v>
      </c>
      <c r="AU52" s="2">
        <f t="shared" si="59"/>
        <v>0</v>
      </c>
      <c r="AV52" s="2">
        <f t="shared" si="60"/>
        <v>0.1788598070189156</v>
      </c>
      <c r="AW52" s="2">
        <f t="shared" si="61"/>
        <v>0.1788598070189156</v>
      </c>
      <c r="AX52" s="2">
        <f t="shared" si="62"/>
        <v>0.38981870774519278</v>
      </c>
      <c r="AY52" s="2">
        <f t="shared" si="63"/>
        <v>0.4588281769581678</v>
      </c>
    </row>
    <row r="53" spans="4:51" x14ac:dyDescent="0.45">
      <c r="D53" s="1">
        <v>50</v>
      </c>
      <c r="E53" s="1">
        <f t="shared" si="34"/>
        <v>90</v>
      </c>
      <c r="F53" s="3">
        <v>0.1351</v>
      </c>
      <c r="G53" s="3">
        <v>3.702E-3</v>
      </c>
      <c r="H53" s="3">
        <v>4.0439000000000003E-2</v>
      </c>
      <c r="I53" s="3">
        <f t="shared" si="35"/>
        <v>0.29094220798644183</v>
      </c>
      <c r="J53" s="3">
        <f t="shared" si="36"/>
        <v>0.28737222974278948</v>
      </c>
      <c r="K53" s="2">
        <f t="shared" si="37"/>
        <v>0.13855192990000001</v>
      </c>
      <c r="L53" s="2">
        <f t="shared" si="64"/>
        <v>28133.055989353677</v>
      </c>
      <c r="M53" s="2">
        <f t="shared" si="38"/>
        <v>4.3991294822000038E-2</v>
      </c>
      <c r="N53" s="2">
        <f t="shared" si="39"/>
        <v>0.17611968285677393</v>
      </c>
      <c r="O53" s="2">
        <f t="shared" si="65"/>
        <v>11388.007884736648</v>
      </c>
      <c r="P53" s="2">
        <f t="shared" si="40"/>
        <v>3897.8892013097061</v>
      </c>
      <c r="Q53" s="2">
        <f t="shared" si="41"/>
        <v>8185.0934269487507</v>
      </c>
      <c r="R53" s="2">
        <f t="shared" si="42"/>
        <v>3313.2521585522891</v>
      </c>
      <c r="S53" s="2">
        <f>SUM(Q53:Q74)</f>
        <v>38460.638442732146</v>
      </c>
      <c r="T53" s="2">
        <f>SUM(R53:R74)</f>
        <v>13721.414044002624</v>
      </c>
      <c r="U53" s="2">
        <f>1</f>
        <v>1</v>
      </c>
      <c r="V53" s="2">
        <f t="shared" si="43"/>
        <v>1120.145111070711</v>
      </c>
      <c r="W53" s="2">
        <f>SUMPRODUCT(U53:U73,V53:V73)</f>
        <v>7337.0577324696524</v>
      </c>
      <c r="X53" s="2">
        <f>IF(Q53=0,0,((W53+(betaPrime*(S53-S74)))-(($BB$18*(T53-T23))*(D53&lt;=$BB$4)))/Q53)</f>
        <v>0.90109153142089915</v>
      </c>
      <c r="Y53" s="4">
        <f t="shared" si="44"/>
        <v>90109</v>
      </c>
      <c r="Z53" s="2">
        <f t="shared" si="45"/>
        <v>0</v>
      </c>
      <c r="AA53" s="2">
        <f t="shared" si="46"/>
        <v>0.90109153142089915</v>
      </c>
      <c r="AB53" s="2">
        <f t="shared" si="47"/>
        <v>0.90109153142089915</v>
      </c>
      <c r="AC53" s="2">
        <f t="shared" si="48"/>
        <v>0.62555112702547333</v>
      </c>
      <c r="AD53" s="2">
        <f t="shared" si="49"/>
        <v>1.4404762336623613</v>
      </c>
      <c r="AF53" s="2">
        <f t="shared" si="50"/>
        <v>0.17280734554999999</v>
      </c>
      <c r="AG53" s="2">
        <f t="shared" si="66"/>
        <v>11945.670357275696</v>
      </c>
      <c r="AH53" s="2">
        <f t="shared" si="51"/>
        <v>4.3991294822000038E-2</v>
      </c>
      <c r="AI53" s="2">
        <f t="shared" si="52"/>
        <v>0.17611968285677393</v>
      </c>
      <c r="AJ53" s="2">
        <f t="shared" si="67"/>
        <v>11388.007884736648</v>
      </c>
      <c r="AK53" s="2">
        <f t="shared" si="53"/>
        <v>483.07096357787191</v>
      </c>
      <c r="AL53" s="2">
        <f t="shared" si="54"/>
        <v>3475.4997096239786</v>
      </c>
      <c r="AM53" s="2">
        <f t="shared" si="55"/>
        <v>3313.2521585522891</v>
      </c>
      <c r="AN53" s="2">
        <f>SUM(AL53:AL63)</f>
        <v>14412.842139654942</v>
      </c>
      <c r="AO53" s="2">
        <f>SUM(AM53:AM63)</f>
        <v>13568.828474288262</v>
      </c>
      <c r="AP53" s="2">
        <f t="shared" si="56"/>
        <v>1</v>
      </c>
      <c r="AQ53" s="2">
        <f t="shared" si="57"/>
        <v>138.82117992737091</v>
      </c>
      <c r="AR53" s="2">
        <f>SUMPRODUCT(AP53:AP62,AQ53:AQ62)</f>
        <v>570.47448032025204</v>
      </c>
      <c r="AS53" s="2">
        <f>IF(AL53=0,0,((AR53+(betaPrime*(AN53-AN63)))-(($BC$18*(AO53-AO23))*(D53&lt;=$BC$4)))/AL53)</f>
        <v>0.1682494568608667</v>
      </c>
      <c r="AT53" s="4">
        <f t="shared" si="58"/>
        <v>16825</v>
      </c>
      <c r="AU53" s="2">
        <f t="shared" si="59"/>
        <v>0</v>
      </c>
      <c r="AV53" s="2">
        <f t="shared" si="60"/>
        <v>0.1682494568608667</v>
      </c>
      <c r="AW53" s="2">
        <f t="shared" si="61"/>
        <v>0.1682494568608667</v>
      </c>
      <c r="AX53" s="2">
        <f t="shared" si="62"/>
        <v>0.38981870774519278</v>
      </c>
      <c r="AY53" s="2">
        <f t="shared" si="63"/>
        <v>0.43160949825641493</v>
      </c>
    </row>
    <row r="54" spans="4:51" x14ac:dyDescent="0.45">
      <c r="D54" s="1">
        <v>51</v>
      </c>
      <c r="E54" s="1">
        <f t="shared" si="34"/>
        <v>91</v>
      </c>
      <c r="F54" s="3">
        <v>0.14968999999999999</v>
      </c>
      <c r="G54" s="3">
        <v>4.1390000000000003E-3</v>
      </c>
      <c r="H54" s="3">
        <v>4.0446000000000003E-2</v>
      </c>
      <c r="I54" s="3">
        <f t="shared" si="35"/>
        <v>0.28384605657213841</v>
      </c>
      <c r="J54" s="3">
        <f t="shared" si="36"/>
        <v>0.28036315096857517</v>
      </c>
      <c r="K54" s="2">
        <f t="shared" si="37"/>
        <v>0.153519216545</v>
      </c>
      <c r="L54" s="2">
        <f t="shared" si="64"/>
        <v>24235.166788043971</v>
      </c>
      <c r="M54" s="2">
        <f t="shared" si="38"/>
        <v>4.4417594005999983E-2</v>
      </c>
      <c r="N54" s="2">
        <f t="shared" si="39"/>
        <v>0.1907831591826209</v>
      </c>
      <c r="O54" s="2">
        <f t="shared" si="65"/>
        <v>9382.3555477063892</v>
      </c>
      <c r="P54" s="2">
        <f t="shared" si="40"/>
        <v>3720.5638181379145</v>
      </c>
      <c r="Q54" s="2">
        <f t="shared" si="41"/>
        <v>6879.0565231543387</v>
      </c>
      <c r="R54" s="2">
        <f t="shared" si="42"/>
        <v>2663.1446235741842</v>
      </c>
      <c r="S54" s="2">
        <f>SUM(Q54:Q74)</f>
        <v>30275.545015783406</v>
      </c>
      <c r="T54" s="2">
        <f>SUM(R54:R74)</f>
        <v>10408.161885450334</v>
      </c>
      <c r="U54" s="2">
        <f>1</f>
        <v>1</v>
      </c>
      <c r="V54" s="2">
        <f t="shared" si="43"/>
        <v>1043.1089954328186</v>
      </c>
      <c r="W54" s="2">
        <f>SUMPRODUCT(U54:U73,V54:V73)</f>
        <v>6216.9126213989421</v>
      </c>
      <c r="X54" s="2">
        <f>IF(Q54=0,0,((W54+(betaPrime*(S54-S74)))-(($BB$18*(T54-T23))*(D54&lt;=$BB$4)))/Q54)</f>
        <v>0.90814607284984561</v>
      </c>
      <c r="Y54" s="4">
        <f t="shared" si="44"/>
        <v>90815</v>
      </c>
      <c r="Z54" s="2">
        <f t="shared" si="45"/>
        <v>0</v>
      </c>
      <c r="AA54" s="2">
        <f t="shared" si="46"/>
        <v>0.90814607284984561</v>
      </c>
      <c r="AB54" s="2">
        <f t="shared" si="47"/>
        <v>0.90814607284984561</v>
      </c>
      <c r="AC54" s="2">
        <f t="shared" si="48"/>
        <v>0.62555112702547333</v>
      </c>
      <c r="AD54" s="2">
        <f t="shared" si="49"/>
        <v>1.4517535555696706</v>
      </c>
      <c r="AF54" s="2">
        <f t="shared" si="50"/>
        <v>0.18710881912999999</v>
      </c>
      <c r="AG54" s="2">
        <f t="shared" si="66"/>
        <v>9881.3707720195634</v>
      </c>
      <c r="AH54" s="2">
        <f t="shared" si="51"/>
        <v>4.4417594005999983E-2</v>
      </c>
      <c r="AI54" s="2">
        <f t="shared" si="52"/>
        <v>0.1907831591826209</v>
      </c>
      <c r="AJ54" s="2">
        <f t="shared" si="67"/>
        <v>9382.3555477063892</v>
      </c>
      <c r="AK54" s="2">
        <f t="shared" si="53"/>
        <v>399.66192224510331</v>
      </c>
      <c r="AL54" s="2">
        <f t="shared" si="54"/>
        <v>2804.7881271649399</v>
      </c>
      <c r="AM54" s="2">
        <f t="shared" si="55"/>
        <v>2663.1446235741842</v>
      </c>
      <c r="AN54" s="2">
        <f>SUM(AL54:AL63)</f>
        <v>10937.342430030963</v>
      </c>
      <c r="AO54" s="2">
        <f>SUM(AM54:AM63)</f>
        <v>10255.576315735972</v>
      </c>
      <c r="AP54" s="2">
        <f t="shared" si="56"/>
        <v>1</v>
      </c>
      <c r="AQ54" s="2">
        <f t="shared" si="57"/>
        <v>112.05047584279485</v>
      </c>
      <c r="AR54" s="2">
        <f>SUMPRODUCT(AP54:AP62,AQ54:AQ62)</f>
        <v>431.65330039288125</v>
      </c>
      <c r="AS54" s="2">
        <f>IF(AL54=0,0,((AR54+(betaPrime*(AN54-AN63)))-(($BC$18*(AO54-AO23))*(D54&lt;=$BC$4)))/AL54)</f>
        <v>0.15774961913952812</v>
      </c>
      <c r="AT54" s="4">
        <f t="shared" si="58"/>
        <v>15775</v>
      </c>
      <c r="AU54" s="2">
        <f t="shared" si="59"/>
        <v>0</v>
      </c>
      <c r="AV54" s="2">
        <f t="shared" si="60"/>
        <v>0.15774961913952812</v>
      </c>
      <c r="AW54" s="2">
        <f t="shared" si="61"/>
        <v>0.15774961913952812</v>
      </c>
      <c r="AX54" s="2">
        <f t="shared" si="62"/>
        <v>0.38981870774519278</v>
      </c>
      <c r="AY54" s="2">
        <f t="shared" si="63"/>
        <v>0.40467431656112834</v>
      </c>
    </row>
    <row r="55" spans="4:51" x14ac:dyDescent="0.45">
      <c r="D55" s="1">
        <v>52</v>
      </c>
      <c r="E55" s="1">
        <f t="shared" si="34"/>
        <v>92</v>
      </c>
      <c r="F55" s="3">
        <v>0.16591</v>
      </c>
      <c r="G55" s="3">
        <v>4.5799999999999999E-3</v>
      </c>
      <c r="H55" s="3">
        <v>4.0454999999999998E-2</v>
      </c>
      <c r="I55" s="3">
        <f t="shared" si="35"/>
        <v>0.27692298202159843</v>
      </c>
      <c r="J55" s="3">
        <f t="shared" si="36"/>
        <v>0.27352502533519529</v>
      </c>
      <c r="K55" s="2">
        <f t="shared" si="37"/>
        <v>0.17011006610000001</v>
      </c>
      <c r="L55" s="2">
        <f t="shared" si="64"/>
        <v>20514.602969906056</v>
      </c>
      <c r="M55" s="2">
        <f t="shared" si="38"/>
        <v>4.4849716099999992E-2</v>
      </c>
      <c r="N55" s="2">
        <f t="shared" si="39"/>
        <v>0.2070392079009245</v>
      </c>
      <c r="O55" s="2">
        <f t="shared" si="65"/>
        <v>7592.3601157403746</v>
      </c>
      <c r="P55" s="2">
        <f t="shared" si="40"/>
        <v>3489.7404672259759</v>
      </c>
      <c r="Q55" s="2">
        <f t="shared" si="41"/>
        <v>5680.9650294155244</v>
      </c>
      <c r="R55" s="2">
        <f t="shared" si="42"/>
        <v>2102.4990038326728</v>
      </c>
      <c r="S55" s="2">
        <f>SUM(Q55:Q74)</f>
        <v>23396.488492629069</v>
      </c>
      <c r="T55" s="2">
        <f>SUM(R55:R74)</f>
        <v>7745.0172618761471</v>
      </c>
      <c r="U55" s="2">
        <f>1</f>
        <v>1</v>
      </c>
      <c r="V55" s="2">
        <f t="shared" si="43"/>
        <v>954.53134971124132</v>
      </c>
      <c r="W55" s="2">
        <f>SUMPRODUCT(U55:U73,V55:V73)</f>
        <v>5173.8036259661239</v>
      </c>
      <c r="X55" s="2">
        <f>IF(Q55=0,0,((W55+(betaPrime*(S55-S74)))-(($BB$18*(T55-T23))*(D55&lt;=$BB$4)))/Q55)</f>
        <v>0.914844588471874</v>
      </c>
      <c r="Y55" s="4">
        <f t="shared" si="44"/>
        <v>91484</v>
      </c>
      <c r="Z55" s="2">
        <f t="shared" si="45"/>
        <v>0</v>
      </c>
      <c r="AA55" s="2">
        <f t="shared" si="46"/>
        <v>0.914844588471874</v>
      </c>
      <c r="AB55" s="2">
        <f t="shared" si="47"/>
        <v>0.914844588471874</v>
      </c>
      <c r="AC55" s="2">
        <f t="shared" si="48"/>
        <v>0.62555112702547333</v>
      </c>
      <c r="AD55" s="2">
        <f t="shared" si="49"/>
        <v>1.4624617380548981</v>
      </c>
      <c r="AF55" s="2">
        <f t="shared" si="50"/>
        <v>0.20300905547500001</v>
      </c>
      <c r="AG55" s="2">
        <f t="shared" si="66"/>
        <v>8032.4791554812864</v>
      </c>
      <c r="AH55" s="2">
        <f t="shared" si="51"/>
        <v>4.4849716099999992E-2</v>
      </c>
      <c r="AI55" s="2">
        <f t="shared" si="52"/>
        <v>0.2070392079009245</v>
      </c>
      <c r="AJ55" s="2">
        <f t="shared" si="67"/>
        <v>7592.3601157403746</v>
      </c>
      <c r="AK55" s="2">
        <f t="shared" si="53"/>
        <v>324.95394423499545</v>
      </c>
      <c r="AL55" s="2">
        <f t="shared" si="54"/>
        <v>2224.3780807622084</v>
      </c>
      <c r="AM55" s="2">
        <f t="shared" si="55"/>
        <v>2102.4990038326728</v>
      </c>
      <c r="AN55" s="2">
        <f>SUM(AL55:AL63)</f>
        <v>8132.5543028660231</v>
      </c>
      <c r="AO55" s="2">
        <f>SUM(AM55:AM63)</f>
        <v>7592.4316921617874</v>
      </c>
      <c r="AP55" s="2">
        <f t="shared" si="56"/>
        <v>1</v>
      </c>
      <c r="AQ55" s="2">
        <f t="shared" si="57"/>
        <v>88.883035829648762</v>
      </c>
      <c r="AR55" s="2">
        <f>SUMPRODUCT(AP55:AP62,AQ55:AQ62)</f>
        <v>319.60282455008644</v>
      </c>
      <c r="AS55" s="2">
        <f>IF(AL55=0,0,((AR55+(betaPrime*(AN55-AN63)))-(($BC$18*(AO55-AO23))*(D55&lt;=$BC$4)))/AL55)</f>
        <v>0.14727666923651953</v>
      </c>
      <c r="AT55" s="4">
        <f t="shared" si="58"/>
        <v>14728</v>
      </c>
      <c r="AU55" s="2">
        <f t="shared" si="59"/>
        <v>0</v>
      </c>
      <c r="AV55" s="2">
        <f t="shared" si="60"/>
        <v>0.14727666923651953</v>
      </c>
      <c r="AW55" s="2">
        <f t="shared" si="61"/>
        <v>0.14727666923651953</v>
      </c>
      <c r="AX55" s="2">
        <f t="shared" si="62"/>
        <v>0.38981870774519278</v>
      </c>
      <c r="AY55" s="2">
        <f t="shared" si="63"/>
        <v>0.37780811005301407</v>
      </c>
    </row>
    <row r="56" spans="4:51" x14ac:dyDescent="0.45">
      <c r="D56" s="1">
        <v>53</v>
      </c>
      <c r="E56" s="1">
        <f t="shared" si="34"/>
        <v>93</v>
      </c>
      <c r="F56" s="3">
        <v>0.18379000000000001</v>
      </c>
      <c r="G56" s="3">
        <v>5.006E-3</v>
      </c>
      <c r="H56" s="3">
        <v>4.0466000000000002E-2</v>
      </c>
      <c r="I56" s="3">
        <f t="shared" si="35"/>
        <v>0.27016876294790093</v>
      </c>
      <c r="J56" s="3">
        <f t="shared" si="36"/>
        <v>0.26685368325384912</v>
      </c>
      <c r="K56" s="2">
        <f t="shared" si="37"/>
        <v>0.18833597363000001</v>
      </c>
      <c r="L56" s="2">
        <f t="shared" si="64"/>
        <v>17024.86250268008</v>
      </c>
      <c r="M56" s="2">
        <f t="shared" si="38"/>
        <v>4.5269427203999957E-2</v>
      </c>
      <c r="N56" s="2">
        <f t="shared" si="39"/>
        <v>0.2248993931910884</v>
      </c>
      <c r="O56" s="2">
        <f t="shared" si="65"/>
        <v>6020.4438912789165</v>
      </c>
      <c r="P56" s="2">
        <f t="shared" si="40"/>
        <v>3206.3940553591315</v>
      </c>
      <c r="Q56" s="2">
        <f t="shared" si="41"/>
        <v>4599.5860417071817</v>
      </c>
      <c r="R56" s="2">
        <f t="shared" si="42"/>
        <v>1626.5358785040719</v>
      </c>
      <c r="S56" s="2">
        <f>SUM(Q56:Q74)</f>
        <v>17715.523463213547</v>
      </c>
      <c r="T56" s="2">
        <f>SUM(R56:R74)</f>
        <v>5642.5182580434739</v>
      </c>
      <c r="U56" s="2">
        <f>1</f>
        <v>1</v>
      </c>
      <c r="V56" s="2">
        <f t="shared" si="43"/>
        <v>855.63806363583046</v>
      </c>
      <c r="W56" s="2">
        <f>SUMPRODUCT(U56:U73,V56:V73)</f>
        <v>4219.2722762548819</v>
      </c>
      <c r="X56" s="2">
        <f>IF(Q56=0,0,((W56+(betaPrime*(S56-S74)))-(($BB$18*(T56-T23))*(D56&lt;=$BB$4)))/Q56)</f>
        <v>0.92116720098261184</v>
      </c>
      <c r="Y56" s="4">
        <f t="shared" si="44"/>
        <v>92117</v>
      </c>
      <c r="Z56" s="2">
        <f t="shared" si="45"/>
        <v>0</v>
      </c>
      <c r="AA56" s="2">
        <f t="shared" si="46"/>
        <v>0.92116720098261184</v>
      </c>
      <c r="AB56" s="2">
        <f t="shared" si="47"/>
        <v>0.92116720098261184</v>
      </c>
      <c r="AC56" s="2">
        <f t="shared" si="48"/>
        <v>0.62555112702547333</v>
      </c>
      <c r="AD56" s="2">
        <f t="shared" si="49"/>
        <v>1.4725690054509335</v>
      </c>
      <c r="AF56" s="2">
        <f t="shared" si="50"/>
        <v>0.22053737693</v>
      </c>
      <c r="AG56" s="2">
        <f t="shared" si="66"/>
        <v>6401.8131490044043</v>
      </c>
      <c r="AH56" s="2">
        <f t="shared" si="51"/>
        <v>4.5269427203999957E-2</v>
      </c>
      <c r="AI56" s="2">
        <f t="shared" si="52"/>
        <v>0.2248993931910884</v>
      </c>
      <c r="AJ56" s="2">
        <f t="shared" si="67"/>
        <v>6020.4438912789165</v>
      </c>
      <c r="AK56" s="2">
        <f t="shared" si="53"/>
        <v>259.05577088761225</v>
      </c>
      <c r="AL56" s="2">
        <f t="shared" si="54"/>
        <v>1729.5699390901261</v>
      </c>
      <c r="AM56" s="2">
        <f t="shared" si="55"/>
        <v>1626.5358785040719</v>
      </c>
      <c r="AN56" s="2">
        <f>SUM(AL56:AL63)</f>
        <v>5908.1762221038134</v>
      </c>
      <c r="AO56" s="2">
        <f>SUM(AM56:AM63)</f>
        <v>5489.9326883291142</v>
      </c>
      <c r="AP56" s="2">
        <f t="shared" si="56"/>
        <v>1</v>
      </c>
      <c r="AQ56" s="2">
        <f t="shared" si="57"/>
        <v>69.129986629524595</v>
      </c>
      <c r="AR56" s="2">
        <f>SUMPRODUCT(AP56:AP62,AQ56:AQ62)</f>
        <v>230.71978872043763</v>
      </c>
      <c r="AS56" s="2">
        <f>IF(AL56=0,0,((AR56+(betaPrime*(AN56-AN63)))-(($BC$18*(AO56-AO23))*(D56&lt;=$BC$4)))/AL56)</f>
        <v>0.13673432661033635</v>
      </c>
      <c r="AT56" s="4">
        <f t="shared" si="58"/>
        <v>13673</v>
      </c>
      <c r="AU56" s="2">
        <f t="shared" si="59"/>
        <v>0</v>
      </c>
      <c r="AV56" s="2">
        <f t="shared" si="60"/>
        <v>0.13673432661033635</v>
      </c>
      <c r="AW56" s="2">
        <f t="shared" si="61"/>
        <v>0.13673432661033635</v>
      </c>
      <c r="AX56" s="2">
        <f t="shared" si="62"/>
        <v>0.38981870774519278</v>
      </c>
      <c r="AY56" s="2">
        <f t="shared" si="63"/>
        <v>0.35076389073587899</v>
      </c>
    </row>
    <row r="57" spans="4:51" x14ac:dyDescent="0.45">
      <c r="D57" s="1">
        <v>54</v>
      </c>
      <c r="E57" s="1">
        <f t="shared" si="34"/>
        <v>94</v>
      </c>
      <c r="F57" s="3">
        <v>0.20316999999999999</v>
      </c>
      <c r="G57" s="3">
        <v>5.4019999999999997E-3</v>
      </c>
      <c r="H57" s="3">
        <v>4.0469999999999999E-2</v>
      </c>
      <c r="I57" s="3">
        <f t="shared" si="35"/>
        <v>0.26357928092478139</v>
      </c>
      <c r="J57" s="3">
        <f t="shared" si="36"/>
        <v>0.26034505683302356</v>
      </c>
      <c r="K57" s="2">
        <f t="shared" si="37"/>
        <v>0.20802323782999999</v>
      </c>
      <c r="L57" s="2">
        <f t="shared" si="64"/>
        <v>13818.468447320949</v>
      </c>
      <c r="M57" s="2">
        <f t="shared" si="38"/>
        <v>4.5653381060000053E-2</v>
      </c>
      <c r="N57" s="2">
        <f t="shared" si="39"/>
        <v>0.24418568234501994</v>
      </c>
      <c r="O57" s="2">
        <f t="shared" si="65"/>
        <v>4666.4497133892928</v>
      </c>
      <c r="P57" s="2">
        <f t="shared" si="40"/>
        <v>2874.5625482633964</v>
      </c>
      <c r="Q57" s="2">
        <f t="shared" si="41"/>
        <v>3642.2619768266363</v>
      </c>
      <c r="R57" s="2">
        <f t="shared" si="42"/>
        <v>1229.9794599268021</v>
      </c>
      <c r="S57" s="2">
        <f>SUM(Q57:Q74)</f>
        <v>13115.937421506365</v>
      </c>
      <c r="T57" s="2">
        <f>SUM(R57:R74)</f>
        <v>4015.9823795394022</v>
      </c>
      <c r="U57" s="2">
        <f>1</f>
        <v>1</v>
      </c>
      <c r="V57" s="2">
        <f t="shared" si="43"/>
        <v>748.3781499977149</v>
      </c>
      <c r="W57" s="2">
        <f>SUMPRODUCT(U57:U73,V57:V73)</f>
        <v>3363.6342126190502</v>
      </c>
      <c r="X57" s="2">
        <f>IF(Q57=0,0,((W57+(betaPrime*(S57-S74)))-(($BB$18*(T57-T23))*(D57&lt;=$BB$4)))/Q57)</f>
        <v>0.92710249057443961</v>
      </c>
      <c r="Y57" s="4">
        <f t="shared" si="44"/>
        <v>92710</v>
      </c>
      <c r="Z57" s="2">
        <f t="shared" si="45"/>
        <v>0</v>
      </c>
      <c r="AA57" s="2">
        <f t="shared" si="46"/>
        <v>0.92710249057443961</v>
      </c>
      <c r="AB57" s="2">
        <f t="shared" si="47"/>
        <v>0.92710249057443961</v>
      </c>
      <c r="AC57" s="2">
        <f t="shared" si="48"/>
        <v>0.62555112702547333</v>
      </c>
      <c r="AD57" s="2">
        <f t="shared" si="49"/>
        <v>1.4820571021634283</v>
      </c>
      <c r="AF57" s="2">
        <f t="shared" si="50"/>
        <v>0.23952885504999999</v>
      </c>
      <c r="AG57" s="2">
        <f t="shared" si="66"/>
        <v>4989.9740695269902</v>
      </c>
      <c r="AH57" s="2">
        <f t="shared" si="51"/>
        <v>4.5653381060000053E-2</v>
      </c>
      <c r="AI57" s="2">
        <f t="shared" si="52"/>
        <v>0.24418568234501994</v>
      </c>
      <c r="AJ57" s="2">
        <f t="shared" si="67"/>
        <v>4666.4497133892928</v>
      </c>
      <c r="AK57" s="2">
        <f t="shared" si="53"/>
        <v>201.94425059375729</v>
      </c>
      <c r="AL57" s="2">
        <f t="shared" si="54"/>
        <v>1315.2537770792292</v>
      </c>
      <c r="AM57" s="2">
        <f t="shared" si="55"/>
        <v>1229.9794599268021</v>
      </c>
      <c r="AN57" s="2">
        <f>SUM(AL57:AL63)</f>
        <v>4178.606283013688</v>
      </c>
      <c r="AO57" s="2">
        <f>SUM(AM57:AM63)</f>
        <v>3863.3968098250425</v>
      </c>
      <c r="AP57" s="2">
        <f t="shared" si="56"/>
        <v>1</v>
      </c>
      <c r="AQ57" s="2">
        <f t="shared" si="57"/>
        <v>52.575187397934094</v>
      </c>
      <c r="AR57" s="2">
        <f>SUMPRODUCT(AP57:AP62,AQ57:AQ62)</f>
        <v>161.58980209091305</v>
      </c>
      <c r="AS57" s="2">
        <f>IF(AL57=0,0,((AR57+(betaPrime*(AN57-AN63)))-(($BC$18*(AO57-AO23))*(D57&lt;=$BC$4)))/AL57)</f>
        <v>0.12593160899045014</v>
      </c>
      <c r="AT57" s="4">
        <f t="shared" si="58"/>
        <v>12593</v>
      </c>
      <c r="AU57" s="2">
        <f t="shared" si="59"/>
        <v>0</v>
      </c>
      <c r="AV57" s="2">
        <f t="shared" si="60"/>
        <v>0.12593160899045014</v>
      </c>
      <c r="AW57" s="2">
        <f t="shared" si="61"/>
        <v>0.12593160899045014</v>
      </c>
      <c r="AX57" s="2">
        <f t="shared" si="62"/>
        <v>0.38981870774519278</v>
      </c>
      <c r="AY57" s="2">
        <f t="shared" si="63"/>
        <v>0.32305173273717291</v>
      </c>
    </row>
    <row r="58" spans="4:51" x14ac:dyDescent="0.45">
      <c r="D58" s="1">
        <v>55</v>
      </c>
      <c r="E58" s="1">
        <f t="shared" si="34"/>
        <v>95</v>
      </c>
      <c r="F58" s="3">
        <v>0.22392000000000001</v>
      </c>
      <c r="G58" s="3">
        <v>5.7590000000000002E-3</v>
      </c>
      <c r="H58" s="3">
        <v>4.0472000000000001E-2</v>
      </c>
      <c r="I58" s="3">
        <f t="shared" si="35"/>
        <v>0.25715051797539656</v>
      </c>
      <c r="J58" s="3">
        <f t="shared" si="36"/>
        <v>0.25399517739807176</v>
      </c>
      <c r="K58" s="2">
        <f t="shared" si="37"/>
        <v>0.22903422236000001</v>
      </c>
      <c r="L58" s="2">
        <f t="shared" si="64"/>
        <v>10943.905899057552</v>
      </c>
      <c r="M58" s="2">
        <f t="shared" si="38"/>
        <v>4.5997921751999904E-2</v>
      </c>
      <c r="N58" s="2">
        <f t="shared" si="39"/>
        <v>0.26476799443264598</v>
      </c>
      <c r="O58" s="2">
        <f t="shared" si="65"/>
        <v>3526.9695059966057</v>
      </c>
      <c r="P58" s="2">
        <f t="shared" si="40"/>
        <v>2506.5289771716634</v>
      </c>
      <c r="Q58" s="2">
        <f t="shared" si="41"/>
        <v>2814.2310706166477</v>
      </c>
      <c r="R58" s="2">
        <f t="shared" si="42"/>
        <v>906.96203535045572</v>
      </c>
      <c r="S58" s="2">
        <f>SUM(Q58:Q74)</f>
        <v>9473.6754446797295</v>
      </c>
      <c r="T58" s="2">
        <f>SUM(R58:R74)</f>
        <v>2786.0029196126002</v>
      </c>
      <c r="U58" s="2">
        <f>1</f>
        <v>1</v>
      </c>
      <c r="V58" s="2">
        <f t="shared" si="43"/>
        <v>636.64627221012404</v>
      </c>
      <c r="W58" s="2">
        <f>SUMPRODUCT(U58:U73,V58:V73)</f>
        <v>2615.2560626213349</v>
      </c>
      <c r="X58" s="2">
        <f>IF(Q58=0,0,((W58+(betaPrime*(S58-S74)))-(($BB$18*(T58-T23))*(D58&lt;=$BB$4)))/Q58)</f>
        <v>0.93266319367687534</v>
      </c>
      <c r="Y58" s="4">
        <f t="shared" si="44"/>
        <v>93266</v>
      </c>
      <c r="Z58" s="2">
        <f t="shared" si="45"/>
        <v>0</v>
      </c>
      <c r="AA58" s="2">
        <f t="shared" si="46"/>
        <v>0.93266319367687534</v>
      </c>
      <c r="AB58" s="2">
        <f t="shared" si="47"/>
        <v>0.93266319367687534</v>
      </c>
      <c r="AC58" s="2">
        <f t="shared" si="48"/>
        <v>0.62555112702547333</v>
      </c>
      <c r="AD58" s="2">
        <f t="shared" si="49"/>
        <v>1.490946388525803</v>
      </c>
      <c r="AF58" s="2">
        <f t="shared" si="50"/>
        <v>0.25986075487999999</v>
      </c>
      <c r="AG58" s="2">
        <f t="shared" si="66"/>
        <v>3794.7312939240014</v>
      </c>
      <c r="AH58" s="2">
        <f t="shared" si="51"/>
        <v>4.5997921751999904E-2</v>
      </c>
      <c r="AI58" s="2">
        <f t="shared" si="52"/>
        <v>0.26476799443264598</v>
      </c>
      <c r="AJ58" s="2">
        <f t="shared" si="67"/>
        <v>3526.9695059966057</v>
      </c>
      <c r="AK58" s="2">
        <f t="shared" si="53"/>
        <v>153.58036492769219</v>
      </c>
      <c r="AL58" s="2">
        <f t="shared" si="54"/>
        <v>975.81711781000377</v>
      </c>
      <c r="AM58" s="2">
        <f t="shared" si="55"/>
        <v>906.96203535045572</v>
      </c>
      <c r="AN58" s="2">
        <f>SUM(AL58:AL63)</f>
        <v>2863.3525059344588</v>
      </c>
      <c r="AO58" s="2">
        <f>SUM(AM58:AM63)</f>
        <v>2633.4173498982404</v>
      </c>
      <c r="AP58" s="2">
        <f t="shared" si="56"/>
        <v>1</v>
      </c>
      <c r="AQ58" s="2">
        <f t="shared" si="57"/>
        <v>39.008672034669779</v>
      </c>
      <c r="AR58" s="2">
        <f>SUMPRODUCT(AP58:AP62,AQ58:AQ62)</f>
        <v>109.01461469297897</v>
      </c>
      <c r="AS58" s="2">
        <f>IF(AL58=0,0,((AR58+(betaPrime*(AN58-AN63)))-(($BC$18*(AO58-AO23))*(D58&lt;=$BC$4)))/AL58)</f>
        <v>0.11451078400235387</v>
      </c>
      <c r="AT58" s="4">
        <f t="shared" si="58"/>
        <v>11451</v>
      </c>
      <c r="AU58" s="2">
        <f t="shared" si="59"/>
        <v>0</v>
      </c>
      <c r="AV58" s="2">
        <f t="shared" si="60"/>
        <v>0.11451078400235387</v>
      </c>
      <c r="AW58" s="2">
        <f t="shared" si="61"/>
        <v>0.11451078400235387</v>
      </c>
      <c r="AX58" s="2">
        <f t="shared" si="62"/>
        <v>0.38981870774519278</v>
      </c>
      <c r="AY58" s="2">
        <f t="shared" si="63"/>
        <v>0.29375394696861112</v>
      </c>
    </row>
    <row r="59" spans="4:51" x14ac:dyDescent="0.45">
      <c r="D59" s="1">
        <v>56</v>
      </c>
      <c r="E59" s="1">
        <f t="shared" si="34"/>
        <v>96</v>
      </c>
      <c r="F59" s="3">
        <v>0.24623</v>
      </c>
      <c r="G59" s="3">
        <v>6.0769999999999999E-3</v>
      </c>
      <c r="H59" s="3">
        <v>4.0473000000000002E-2</v>
      </c>
      <c r="I59" s="3">
        <f t="shared" si="35"/>
        <v>0.25087855412233806</v>
      </c>
      <c r="J59" s="3">
        <f t="shared" si="36"/>
        <v>0.24780017307128954</v>
      </c>
      <c r="K59" s="2">
        <f t="shared" si="37"/>
        <v>0.25155883014500002</v>
      </c>
      <c r="L59" s="2">
        <f t="shared" si="64"/>
        <v>8437.3769218858888</v>
      </c>
      <c r="M59" s="2">
        <f t="shared" si="38"/>
        <v>4.630404557900003E-2</v>
      </c>
      <c r="N59" s="2">
        <f t="shared" si="39"/>
        <v>0.28683332300754144</v>
      </c>
      <c r="O59" s="2">
        <f t="shared" si="65"/>
        <v>2593.1408634687841</v>
      </c>
      <c r="P59" s="2">
        <f t="shared" si="40"/>
        <v>2122.4966679620356</v>
      </c>
      <c r="Q59" s="2">
        <f t="shared" si="41"/>
        <v>2116.7569227479153</v>
      </c>
      <c r="R59" s="2">
        <f t="shared" si="42"/>
        <v>650.56343046259985</v>
      </c>
      <c r="S59" s="2">
        <f>SUM(Q59:Q74)</f>
        <v>6659.4443740630804</v>
      </c>
      <c r="T59" s="2">
        <f>SUM(R59:R74)</f>
        <v>1879.0408842621448</v>
      </c>
      <c r="U59" s="2">
        <f>1</f>
        <v>1</v>
      </c>
      <c r="V59" s="2">
        <f t="shared" si="43"/>
        <v>525.95504166422779</v>
      </c>
      <c r="W59" s="2">
        <f>SUMPRODUCT(U59:U73,V59:V73)</f>
        <v>1978.6097904112107</v>
      </c>
      <c r="X59" s="2">
        <f>IF(Q59=0,0,((W59+(betaPrime*(S59-S74)))-(($BB$18*(T59-T23))*(D59&lt;=$BB$4)))/Q59)</f>
        <v>0.93788248119111006</v>
      </c>
      <c r="Y59" s="4">
        <f t="shared" si="44"/>
        <v>93788</v>
      </c>
      <c r="Z59" s="2">
        <f t="shared" si="45"/>
        <v>0</v>
      </c>
      <c r="AA59" s="2">
        <f t="shared" si="46"/>
        <v>0.93788248119111006</v>
      </c>
      <c r="AB59" s="2">
        <f t="shared" si="47"/>
        <v>0.93788248119111006</v>
      </c>
      <c r="AC59" s="2">
        <f t="shared" si="48"/>
        <v>0.62555112702547333</v>
      </c>
      <c r="AD59" s="2">
        <f t="shared" si="49"/>
        <v>1.4992898912208628</v>
      </c>
      <c r="AF59" s="2">
        <f t="shared" si="50"/>
        <v>0.28172016660499999</v>
      </c>
      <c r="AG59" s="2">
        <f t="shared" si="66"/>
        <v>2808.6295553181512</v>
      </c>
      <c r="AH59" s="2">
        <f t="shared" si="51"/>
        <v>4.630404557900003E-2</v>
      </c>
      <c r="AI59" s="2">
        <f t="shared" si="52"/>
        <v>0.28683332300754144</v>
      </c>
      <c r="AJ59" s="2">
        <f t="shared" si="67"/>
        <v>2593.1408634687841</v>
      </c>
      <c r="AK59" s="2">
        <f t="shared" si="53"/>
        <v>113.67366399239154</v>
      </c>
      <c r="AL59" s="2">
        <f t="shared" si="54"/>
        <v>704.62492190348303</v>
      </c>
      <c r="AM59" s="2">
        <f t="shared" si="55"/>
        <v>650.56343046259985</v>
      </c>
      <c r="AN59" s="2">
        <f>SUM(AL59:AL63)</f>
        <v>1887.5353881244548</v>
      </c>
      <c r="AO59" s="2">
        <f>SUM(AM59:AM63)</f>
        <v>1726.4553145477844</v>
      </c>
      <c r="AP59" s="2">
        <f t="shared" si="56"/>
        <v>1</v>
      </c>
      <c r="AQ59" s="2">
        <f t="shared" si="57"/>
        <v>28.168353610962239</v>
      </c>
      <c r="AR59" s="2">
        <f>SUMPRODUCT(AP59:AP62,AQ59:AQ62)</f>
        <v>70.005942658309181</v>
      </c>
      <c r="AS59" s="2">
        <f>IF(AL59=0,0,((AR59+(betaPrime*(AN59-AN63)))-(($BC$18*(AO59-AO23))*(D59&lt;=$BC$4)))/AL59)</f>
        <v>0.10183729218236488</v>
      </c>
      <c r="AT59" s="4">
        <f t="shared" si="58"/>
        <v>10184</v>
      </c>
      <c r="AU59" s="2">
        <f t="shared" si="59"/>
        <v>0</v>
      </c>
      <c r="AV59" s="2">
        <f t="shared" si="60"/>
        <v>0.10183729218236488</v>
      </c>
      <c r="AW59" s="2">
        <f t="shared" si="61"/>
        <v>0.10183729218236488</v>
      </c>
      <c r="AX59" s="2">
        <f t="shared" si="62"/>
        <v>0.38981870774519278</v>
      </c>
      <c r="AY59" s="2">
        <f t="shared" si="63"/>
        <v>0.26124270118131787</v>
      </c>
    </row>
    <row r="60" spans="4:51" x14ac:dyDescent="0.45">
      <c r="D60" s="1">
        <v>57</v>
      </c>
      <c r="E60" s="1">
        <f t="shared" si="34"/>
        <v>97</v>
      </c>
      <c r="F60" s="3">
        <v>0.27052999999999999</v>
      </c>
      <c r="G60" s="3">
        <v>6.3629999999999997E-3</v>
      </c>
      <c r="H60" s="3">
        <v>4.0474000000000003E-2</v>
      </c>
      <c r="I60" s="3">
        <f t="shared" si="35"/>
        <v>0.24475956499740303</v>
      </c>
      <c r="J60" s="3">
        <f t="shared" si="36"/>
        <v>0.24175626641101425</v>
      </c>
      <c r="K60" s="2">
        <f t="shared" si="37"/>
        <v>0.27603230880500002</v>
      </c>
      <c r="L60" s="2">
        <f t="shared" si="64"/>
        <v>6314.8802539238532</v>
      </c>
      <c r="M60" s="2">
        <f t="shared" si="38"/>
        <v>4.6579463938000054E-2</v>
      </c>
      <c r="N60" s="2">
        <f t="shared" si="39"/>
        <v>0.31080889274842649</v>
      </c>
      <c r="O60" s="2">
        <f t="shared" si="65"/>
        <v>1849.3416525733874</v>
      </c>
      <c r="P60" s="2">
        <f t="shared" si="40"/>
        <v>1743.110976317706</v>
      </c>
      <c r="Q60" s="2">
        <f t="shared" si="41"/>
        <v>1545.6273439610923</v>
      </c>
      <c r="R60" s="2">
        <f t="shared" si="42"/>
        <v>452.64405841544072</v>
      </c>
      <c r="S60" s="2">
        <f>SUM(Q60:Q74)</f>
        <v>4542.6874513151652</v>
      </c>
      <c r="T60" s="2">
        <f>SUM(R60:R74)</f>
        <v>1228.4774537995449</v>
      </c>
      <c r="U60" s="2">
        <f>1</f>
        <v>1</v>
      </c>
      <c r="V60" s="2">
        <f t="shared" si="43"/>
        <v>421.4080015746265</v>
      </c>
      <c r="W60" s="2">
        <f>SUMPRODUCT(U60:U73,V60:V73)</f>
        <v>1452.6547487469829</v>
      </c>
      <c r="X60" s="2">
        <f>IF(Q60=0,0,((W60+(betaPrime*(S60-S74)))-(($BB$18*(T60-T23))*(D60&lt;=$BB$4)))/Q60)</f>
        <v>0.94278704494437304</v>
      </c>
      <c r="Y60" s="4">
        <f t="shared" si="44"/>
        <v>94279</v>
      </c>
      <c r="Z60" s="2">
        <f t="shared" si="45"/>
        <v>0</v>
      </c>
      <c r="AA60" s="2">
        <f t="shared" si="46"/>
        <v>0.94278704494437304</v>
      </c>
      <c r="AB60" s="2">
        <f t="shared" si="47"/>
        <v>0.94278704494437304</v>
      </c>
      <c r="AC60" s="2">
        <f t="shared" si="48"/>
        <v>0.62555112702547333</v>
      </c>
      <c r="AD60" s="2">
        <f t="shared" si="49"/>
        <v>1.5071302795462496</v>
      </c>
      <c r="AF60" s="2">
        <f t="shared" si="50"/>
        <v>0.30552928438999999</v>
      </c>
      <c r="AG60" s="2">
        <f t="shared" si="66"/>
        <v>2017.3819690621947</v>
      </c>
      <c r="AH60" s="2">
        <f t="shared" si="51"/>
        <v>4.6579463938000054E-2</v>
      </c>
      <c r="AI60" s="2">
        <f t="shared" si="52"/>
        <v>0.31080889274842649</v>
      </c>
      <c r="AJ60" s="2">
        <f t="shared" si="67"/>
        <v>1849.3416525733874</v>
      </c>
      <c r="AK60" s="2">
        <f t="shared" si="53"/>
        <v>81.651517815823269</v>
      </c>
      <c r="AL60" s="2">
        <f t="shared" si="54"/>
        <v>493.77353318126717</v>
      </c>
      <c r="AM60" s="2">
        <f t="shared" si="55"/>
        <v>452.64405841544072</v>
      </c>
      <c r="AN60" s="2">
        <f>SUM(AL60:AL63)</f>
        <v>1182.9104662209718</v>
      </c>
      <c r="AO60" s="2">
        <f>SUM(AM60:AM63)</f>
        <v>1075.8918840851845</v>
      </c>
      <c r="AP60" s="2">
        <f t="shared" si="56"/>
        <v>1</v>
      </c>
      <c r="AQ60" s="2">
        <f t="shared" si="57"/>
        <v>19.739766093945846</v>
      </c>
      <c r="AR60" s="2">
        <f>SUMPRODUCT(AP60:AP62,AQ60:AQ62)</f>
        <v>41.837589047346945</v>
      </c>
      <c r="AS60" s="2">
        <f>IF(AL60=0,0,((AR60+(betaPrime*(AN60-AN63)))-(($BC$18*(AO60-AO23))*(D60&lt;=$BC$4)))/AL60)</f>
        <v>8.6849765400958248E-2</v>
      </c>
      <c r="AT60" s="4">
        <f t="shared" si="58"/>
        <v>8685</v>
      </c>
      <c r="AU60" s="2">
        <f t="shared" si="59"/>
        <v>0</v>
      </c>
      <c r="AV60" s="2">
        <f t="shared" si="60"/>
        <v>8.6849765400958248E-2</v>
      </c>
      <c r="AW60" s="2">
        <f t="shared" si="61"/>
        <v>8.6849765400958248E-2</v>
      </c>
      <c r="AX60" s="2">
        <f t="shared" si="62"/>
        <v>0.38981870774519278</v>
      </c>
      <c r="AY60" s="2">
        <f t="shared" si="63"/>
        <v>0.22279527297014204</v>
      </c>
    </row>
    <row r="61" spans="4:51" x14ac:dyDescent="0.45">
      <c r="D61" s="1">
        <v>58</v>
      </c>
      <c r="E61" s="1">
        <f t="shared" si="34"/>
        <v>98</v>
      </c>
      <c r="F61" s="3">
        <v>0.29698999999999998</v>
      </c>
      <c r="G61" s="3">
        <v>6.6379999999999998E-3</v>
      </c>
      <c r="H61" s="3">
        <v>4.0474000000000003E-2</v>
      </c>
      <c r="I61" s="3">
        <f t="shared" si="35"/>
        <v>0.23878981950966149</v>
      </c>
      <c r="J61" s="3">
        <f t="shared" si="36"/>
        <v>0.23585977210830661</v>
      </c>
      <c r="K61" s="2">
        <f t="shared" si="37"/>
        <v>0.30264229018999994</v>
      </c>
      <c r="L61" s="2">
        <f t="shared" si="64"/>
        <v>4571.7692776061467</v>
      </c>
      <c r="M61" s="2">
        <f t="shared" si="38"/>
        <v>4.684333358800008E-2</v>
      </c>
      <c r="N61" s="2">
        <f t="shared" si="39"/>
        <v>0.33687733276685</v>
      </c>
      <c r="O61" s="2">
        <f t="shared" si="65"/>
        <v>1274.5498212235077</v>
      </c>
      <c r="P61" s="2">
        <f t="shared" si="40"/>
        <v>1383.6107243950059</v>
      </c>
      <c r="Q61" s="2">
        <f t="shared" si="41"/>
        <v>1091.6919606393874</v>
      </c>
      <c r="R61" s="2">
        <f t="shared" si="42"/>
        <v>304.34952176603275</v>
      </c>
      <c r="S61" s="2">
        <f>SUM(Q61:Q74)</f>
        <v>2997.0601073540734</v>
      </c>
      <c r="T61" s="2">
        <f>SUM(R61:R74)</f>
        <v>775.83339538410428</v>
      </c>
      <c r="U61" s="2">
        <f>1</f>
        <v>1</v>
      </c>
      <c r="V61" s="2">
        <f t="shared" si="43"/>
        <v>326.33811014241513</v>
      </c>
      <c r="W61" s="2">
        <f>SUMPRODUCT(U61:U73,V61:V73)</f>
        <v>1031.2467471723564</v>
      </c>
      <c r="X61" s="2">
        <f>IF(Q61=0,0,((W61+(betaPrime*(S61-S74)))-(($BB$18*(T61-T23))*(D61&lt;=$BB$4)))/Q61)</f>
        <v>0.94737695665906496</v>
      </c>
      <c r="Y61" s="4">
        <f t="shared" si="44"/>
        <v>94738</v>
      </c>
      <c r="Z61" s="2">
        <f t="shared" si="45"/>
        <v>0</v>
      </c>
      <c r="AA61" s="2">
        <f t="shared" si="46"/>
        <v>0.94737695665906496</v>
      </c>
      <c r="AB61" s="2">
        <f t="shared" si="47"/>
        <v>0.94737695665906496</v>
      </c>
      <c r="AC61" s="2">
        <f t="shared" si="48"/>
        <v>0.62555112702547333</v>
      </c>
      <c r="AD61" s="2">
        <f t="shared" si="49"/>
        <v>1.5144676681567011</v>
      </c>
      <c r="AF61" s="2">
        <f t="shared" si="50"/>
        <v>0.33145381336999996</v>
      </c>
      <c r="AG61" s="2">
        <f t="shared" si="66"/>
        <v>1401.0126997133334</v>
      </c>
      <c r="AH61" s="2">
        <f t="shared" si="51"/>
        <v>4.684333358800008E-2</v>
      </c>
      <c r="AI61" s="2">
        <f t="shared" si="52"/>
        <v>0.33687733276685</v>
      </c>
      <c r="AJ61" s="2">
        <f t="shared" si="67"/>
        <v>1274.5498212235077</v>
      </c>
      <c r="AK61" s="2">
        <f t="shared" si="53"/>
        <v>56.704588008197462</v>
      </c>
      <c r="AL61" s="2">
        <f t="shared" si="54"/>
        <v>334.54756969529046</v>
      </c>
      <c r="AM61" s="2">
        <f t="shared" si="55"/>
        <v>304.34952176603275</v>
      </c>
      <c r="AN61" s="2">
        <f>SUM(AL61:AL63)</f>
        <v>689.13693303970467</v>
      </c>
      <c r="AO61" s="2">
        <f>SUM(AM61:AM63)</f>
        <v>623.24782566974386</v>
      </c>
      <c r="AP61" s="2">
        <f t="shared" si="56"/>
        <v>1</v>
      </c>
      <c r="AQ61" s="2">
        <f t="shared" si="57"/>
        <v>13.374331205108868</v>
      </c>
      <c r="AR61" s="2">
        <f>SUMPRODUCT(AP61:AP62,AQ61:AQ62)</f>
        <v>22.097822953401099</v>
      </c>
      <c r="AS61" s="2">
        <f>IF(AL61=0,0,((AR61+(betaPrime*(AN61-AN63)))-(($BC$18*(AO61-AO23))*(D61&lt;=$BC$4)))/AL61)</f>
        <v>6.7705097698060115E-2</v>
      </c>
      <c r="AT61" s="4">
        <f t="shared" si="58"/>
        <v>6771</v>
      </c>
      <c r="AU61" s="2">
        <f t="shared" si="59"/>
        <v>0</v>
      </c>
      <c r="AV61" s="2">
        <f t="shared" si="60"/>
        <v>6.7705097698060115E-2</v>
      </c>
      <c r="AW61" s="2">
        <f t="shared" si="61"/>
        <v>6.7705097698060115E-2</v>
      </c>
      <c r="AX61" s="2">
        <f t="shared" si="62"/>
        <v>0.38981870774519278</v>
      </c>
      <c r="AY61" s="2">
        <f t="shared" si="63"/>
        <v>0.17368355174558717</v>
      </c>
    </row>
    <row r="62" spans="4:51" x14ac:dyDescent="0.45">
      <c r="D62" s="1">
        <v>59</v>
      </c>
      <c r="E62" s="1">
        <f t="shared" si="34"/>
        <v>99</v>
      </c>
      <c r="F62" s="3">
        <v>0.32546000000000003</v>
      </c>
      <c r="G62" s="3">
        <v>6.914E-3</v>
      </c>
      <c r="H62" s="3">
        <v>4.0474999999999997E-2</v>
      </c>
      <c r="I62" s="3">
        <f t="shared" si="35"/>
        <v>0.23296567757040149</v>
      </c>
      <c r="J62" s="3">
        <f t="shared" si="36"/>
        <v>0.23010709473981131</v>
      </c>
      <c r="K62" s="2">
        <f t="shared" si="37"/>
        <v>0.33124888478000003</v>
      </c>
      <c r="L62" s="2">
        <f t="shared" si="64"/>
        <v>3188.1585532111412</v>
      </c>
      <c r="M62" s="2">
        <f t="shared" si="38"/>
        <v>4.7109155849999973E-2</v>
      </c>
      <c r="N62" s="2">
        <f t="shared" si="39"/>
        <v>0.36490308291852952</v>
      </c>
      <c r="O62" s="2">
        <f t="shared" si="65"/>
        <v>845.18287697126698</v>
      </c>
      <c r="P62" s="2">
        <f t="shared" si="40"/>
        <v>1056.073965253009</v>
      </c>
      <c r="Q62" s="2">
        <f t="shared" si="41"/>
        <v>742.73151755070444</v>
      </c>
      <c r="R62" s="2">
        <f t="shared" si="42"/>
        <v>196.89860160451249</v>
      </c>
      <c r="S62" s="2">
        <f>SUM(Q62:Q74)</f>
        <v>1905.3681467146855</v>
      </c>
      <c r="T62" s="2">
        <f>SUM(R62:R74)</f>
        <v>471.48387361807136</v>
      </c>
      <c r="U62" s="2">
        <f>1</f>
        <v>1</v>
      </c>
      <c r="V62" s="2">
        <f t="shared" si="43"/>
        <v>243.01011197472232</v>
      </c>
      <c r="W62" s="2">
        <f>SUMPRODUCT(U62:U73,V62:V73)</f>
        <v>704.90863702994147</v>
      </c>
      <c r="X62" s="2">
        <f>IF(Q62=0,0,((W62+(betaPrime*(S62-S74)))-(($BB$18*(T62-T23))*(D62&lt;=$BB$4)))/Q62)</f>
        <v>0.9516413245899501</v>
      </c>
      <c r="Y62" s="4">
        <f t="shared" si="44"/>
        <v>95164</v>
      </c>
      <c r="Z62" s="2">
        <f t="shared" si="45"/>
        <v>0</v>
      </c>
      <c r="AA62" s="2">
        <f t="shared" si="46"/>
        <v>0.9516413245899501</v>
      </c>
      <c r="AB62" s="2">
        <f t="shared" si="47"/>
        <v>0.9516413245899501</v>
      </c>
      <c r="AC62" s="2">
        <f t="shared" si="48"/>
        <v>0.62555112702547333</v>
      </c>
      <c r="AD62" s="2">
        <f t="shared" si="49"/>
        <v>1.521284645613304</v>
      </c>
      <c r="AF62" s="2">
        <f t="shared" si="50"/>
        <v>0.35934850325000001</v>
      </c>
      <c r="AG62" s="2">
        <f t="shared" si="66"/>
        <v>936.64169781355031</v>
      </c>
      <c r="AH62" s="2">
        <f t="shared" si="51"/>
        <v>4.7109155849999973E-2</v>
      </c>
      <c r="AI62" s="2">
        <f t="shared" si="52"/>
        <v>0.36490308291852952</v>
      </c>
      <c r="AJ62" s="2">
        <f t="shared" si="67"/>
        <v>845.18287697126698</v>
      </c>
      <c r="AK62" s="2">
        <f t="shared" si="53"/>
        <v>37.910572719003447</v>
      </c>
      <c r="AL62" s="2">
        <f t="shared" si="54"/>
        <v>218.205367771825</v>
      </c>
      <c r="AM62" s="2">
        <f t="shared" si="55"/>
        <v>196.89860160451249</v>
      </c>
      <c r="AN62" s="2">
        <f>SUM(AL62:AL63)</f>
        <v>354.58936334441421</v>
      </c>
      <c r="AO62" s="2">
        <f>SUM(AM62:AM63)</f>
        <v>318.89830390371111</v>
      </c>
      <c r="AP62" s="2">
        <f t="shared" si="56"/>
        <v>1</v>
      </c>
      <c r="AQ62" s="2">
        <f t="shared" si="57"/>
        <v>8.7234917482922327</v>
      </c>
      <c r="AR62" s="2">
        <f>SUMPRODUCT(AP62:AP62,AQ62:AQ62)</f>
        <v>8.7234917482922327</v>
      </c>
      <c r="AS62" s="2">
        <f>IF(AL62=0,0,((AR62+(betaPrime*(AN62-AN63)))-(($BC$18*(AO62-AO23))*(D62&lt;=$BC$4)))/AL62)</f>
        <v>4.0978355424392189E-2</v>
      </c>
      <c r="AT62" s="4">
        <f t="shared" si="58"/>
        <v>4098</v>
      </c>
      <c r="AU62" s="2">
        <f t="shared" si="59"/>
        <v>0</v>
      </c>
      <c r="AV62" s="2">
        <f t="shared" si="60"/>
        <v>4.0978355424392189E-2</v>
      </c>
      <c r="AW62" s="2">
        <f t="shared" si="61"/>
        <v>4.0978355424392189E-2</v>
      </c>
      <c r="AX62" s="2">
        <f t="shared" si="62"/>
        <v>0.38981870774519278</v>
      </c>
      <c r="AY62" s="2">
        <f t="shared" si="63"/>
        <v>0.10512157218267196</v>
      </c>
    </row>
    <row r="63" spans="4:51" x14ac:dyDescent="0.45">
      <c r="D63" s="1">
        <v>60</v>
      </c>
      <c r="E63" s="1">
        <f t="shared" si="34"/>
        <v>100</v>
      </c>
      <c r="F63" s="3">
        <v>0.35547000000000001</v>
      </c>
      <c r="G63" s="3">
        <v>7.2049999999999996E-3</v>
      </c>
      <c r="H63" s="3">
        <v>4.0474999999999997E-2</v>
      </c>
      <c r="I63" s="3">
        <f t="shared" si="35"/>
        <v>0.22728358787356245</v>
      </c>
      <c r="J63" s="3">
        <f t="shared" si="36"/>
        <v>0.22449472657542568</v>
      </c>
      <c r="K63" s="2">
        <f t="shared" si="37"/>
        <v>0.36139441932500005</v>
      </c>
      <c r="L63" s="2">
        <f t="shared" si="64"/>
        <v>2132.0845879581325</v>
      </c>
      <c r="M63" s="2">
        <f t="shared" si="38"/>
        <v>4.7388377625000033E-2</v>
      </c>
      <c r="N63" s="2">
        <f t="shared" si="39"/>
        <v>0.39443580432782066</v>
      </c>
      <c r="O63" s="2">
        <f t="shared" si="65"/>
        <v>536.77303953449939</v>
      </c>
      <c r="P63" s="2">
        <f t="shared" si="40"/>
        <v>770.52347161691125</v>
      </c>
      <c r="Q63" s="2">
        <f t="shared" si="41"/>
        <v>484.58783480105041</v>
      </c>
      <c r="R63" s="2">
        <f t="shared" si="42"/>
        <v>121.9997022991986</v>
      </c>
      <c r="S63" s="2">
        <f>SUM(Q63:Q74)</f>
        <v>1162.6366291639813</v>
      </c>
      <c r="T63" s="2">
        <f>SUM(R63:R74)</f>
        <v>274.58527201355884</v>
      </c>
      <c r="U63" s="2">
        <f>1</f>
        <v>1</v>
      </c>
      <c r="V63" s="2">
        <f t="shared" si="43"/>
        <v>172.97845608058626</v>
      </c>
      <c r="W63" s="2">
        <f>SUMPRODUCT(U63:U73,V63:V73)</f>
        <v>461.89852505521912</v>
      </c>
      <c r="X63" s="2">
        <f>IF(Q63=0,0,((W63+(betaPrime*(S63-S74)))-(($BB$18*(T63-T23))*(D63&lt;=$BB$4)))/Q63)</f>
        <v>0.9555773554953042</v>
      </c>
      <c r="Y63" s="4">
        <f t="shared" si="44"/>
        <v>95558</v>
      </c>
      <c r="Z63" s="2">
        <f t="shared" si="45"/>
        <v>0</v>
      </c>
      <c r="AA63" s="2">
        <f t="shared" si="46"/>
        <v>0.9555773554953042</v>
      </c>
      <c r="AB63" s="2">
        <f t="shared" si="47"/>
        <v>0.9555773554953042</v>
      </c>
      <c r="AC63" s="2">
        <f t="shared" si="48"/>
        <v>0.62555112702547333</v>
      </c>
      <c r="AD63" s="2">
        <f t="shared" si="49"/>
        <v>1.5275767466667705</v>
      </c>
      <c r="AF63" s="2">
        <f t="shared" si="50"/>
        <v>0.38875117587499997</v>
      </c>
      <c r="AG63" s="2">
        <f t="shared" si="66"/>
        <v>600.0609056227122</v>
      </c>
      <c r="AH63" s="2">
        <f t="shared" si="51"/>
        <v>4.7388377625000033E-2</v>
      </c>
      <c r="AI63" s="2">
        <f t="shared" si="52"/>
        <v>0.39443580432782066</v>
      </c>
      <c r="AJ63" s="2">
        <f t="shared" si="67"/>
        <v>536.77303953449939</v>
      </c>
      <c r="AK63" s="2">
        <f t="shared" si="53"/>
        <v>24.287465155079275</v>
      </c>
      <c r="AL63" s="2">
        <f t="shared" si="54"/>
        <v>136.38399557258919</v>
      </c>
      <c r="AM63" s="2">
        <f t="shared" si="55"/>
        <v>121.9997022991986</v>
      </c>
      <c r="AN63" s="2">
        <f>SUM(AL63:AL63)</f>
        <v>136.38399557258919</v>
      </c>
      <c r="AO63" s="2">
        <f>SUM(AM63:AM63)</f>
        <v>121.9997022991986</v>
      </c>
      <c r="AP63" s="2">
        <f t="shared" si="56"/>
        <v>1</v>
      </c>
      <c r="AQ63" s="2">
        <f t="shared" si="57"/>
        <v>5.4524078491997008</v>
      </c>
      <c r="AR63" s="2">
        <f>0</f>
        <v>0</v>
      </c>
      <c r="AS63" s="2">
        <f>IF(AL63=0,0,((AR63+(betaPrime*(AN63-AN63)))-(($BC$18*(AO63-AO23))*(D63&lt;=$BC$4)))/AL63)</f>
        <v>0</v>
      </c>
      <c r="AT63" s="4">
        <f t="shared" si="58"/>
        <v>0</v>
      </c>
      <c r="AU63" s="2">
        <f t="shared" si="59"/>
        <v>0</v>
      </c>
      <c r="AV63" s="2">
        <f t="shared" si="60"/>
        <v>0</v>
      </c>
      <c r="AW63" s="2">
        <f t="shared" si="61"/>
        <v>0</v>
      </c>
      <c r="AX63" s="2">
        <f t="shared" si="62"/>
        <v>0.38981870774519278</v>
      </c>
      <c r="AY63" s="2">
        <f t="shared" si="63"/>
        <v>0</v>
      </c>
    </row>
    <row r="64" spans="4:51" x14ac:dyDescent="0.45">
      <c r="D64" s="1">
        <v>61</v>
      </c>
      <c r="E64" s="1">
        <f t="shared" si="34"/>
        <v>101</v>
      </c>
      <c r="F64" s="3">
        <v>0.38674999999999998</v>
      </c>
      <c r="G64" s="3">
        <v>7.5129999999999997E-3</v>
      </c>
      <c r="H64" s="3">
        <v>4.0474999999999997E-2</v>
      </c>
      <c r="I64" s="3">
        <f t="shared" si="35"/>
        <v>0.22174008573030482</v>
      </c>
      <c r="J64" s="3">
        <f t="shared" si="36"/>
        <v>0.21901924543943974</v>
      </c>
      <c r="K64" s="2">
        <f t="shared" si="37"/>
        <v>0.39281017362499998</v>
      </c>
      <c r="L64" s="2">
        <f t="shared" si="64"/>
        <v>1361.5611163412211</v>
      </c>
      <c r="M64" s="2">
        <f t="shared" si="38"/>
        <v>4.768391132500005E-2</v>
      </c>
      <c r="N64" s="2">
        <f t="shared" si="39"/>
        <v>0.42521303497252816</v>
      </c>
      <c r="O64" s="2">
        <f t="shared" si="65"/>
        <v>325.05053394422004</v>
      </c>
      <c r="P64" s="2">
        <f t="shared" si="40"/>
        <v>534.83505851104383</v>
      </c>
      <c r="Q64" s="2">
        <f t="shared" si="41"/>
        <v>301.91267866455189</v>
      </c>
      <c r="R64" s="2">
        <f t="shared" si="42"/>
        <v>72.076733263472704</v>
      </c>
      <c r="S64" s="2">
        <f>SUM(Q64:Q74)</f>
        <v>678.04879436293072</v>
      </c>
      <c r="T64" s="2">
        <f>SUM(R64:R74)</f>
        <v>152.58556971436019</v>
      </c>
      <c r="U64" s="2">
        <f>1</f>
        <v>1</v>
      </c>
      <c r="V64" s="2">
        <f t="shared" si="43"/>
        <v>117.13917094964742</v>
      </c>
      <c r="W64" s="2">
        <f>SUMPRODUCT(U64:U73,V64:V73)</f>
        <v>288.92006897463284</v>
      </c>
      <c r="X64" s="2">
        <f>IF(Q64=0,0,((W64+(betaPrime*(S64-S74)))-(($BB$18*(T64-T23))*(D64&lt;=$BB$4)))/Q64)</f>
        <v>0.95921151456763254</v>
      </c>
      <c r="Y64" s="4">
        <f t="shared" si="44"/>
        <v>95921</v>
      </c>
      <c r="Z64" s="2">
        <f t="shared" si="45"/>
        <v>0</v>
      </c>
      <c r="AA64" s="2">
        <f t="shared" si="46"/>
        <v>0.95921151456763254</v>
      </c>
      <c r="AB64" s="2">
        <f t="shared" si="47"/>
        <v>0.95921151456763254</v>
      </c>
      <c r="AC64" s="2">
        <f t="shared" si="48"/>
        <v>0.62555112702547333</v>
      </c>
      <c r="AD64" s="2">
        <f t="shared" si="49"/>
        <v>1.5333862783186578</v>
      </c>
    </row>
    <row r="65" spans="4:30" x14ac:dyDescent="0.45">
      <c r="D65" s="1">
        <v>62</v>
      </c>
      <c r="E65" s="1">
        <f t="shared" si="34"/>
        <v>102</v>
      </c>
      <c r="F65" s="3">
        <v>0.41937000000000002</v>
      </c>
      <c r="G65" s="3">
        <v>7.8329999999999997E-3</v>
      </c>
      <c r="H65" s="3">
        <v>4.0474999999999997E-2</v>
      </c>
      <c r="I65" s="3">
        <f t="shared" si="35"/>
        <v>0.21633179095639499</v>
      </c>
      <c r="J65" s="3">
        <f t="shared" si="36"/>
        <v>0.21367731262384365</v>
      </c>
      <c r="K65" s="2">
        <f t="shared" si="37"/>
        <v>0.42556053739499999</v>
      </c>
      <c r="L65" s="2">
        <f t="shared" si="64"/>
        <v>826.72605783017718</v>
      </c>
      <c r="M65" s="2">
        <f t="shared" si="38"/>
        <v>4.7990959324999971E-2</v>
      </c>
      <c r="N65" s="2">
        <f t="shared" si="39"/>
        <v>0.45729797501893737</v>
      </c>
      <c r="O65" s="2">
        <f t="shared" si="65"/>
        <v>186.83480988635745</v>
      </c>
      <c r="P65" s="2">
        <f t="shared" si="40"/>
        <v>351.82198544866003</v>
      </c>
      <c r="Q65" s="2">
        <f t="shared" si="41"/>
        <v>178.8471287207224</v>
      </c>
      <c r="R65" s="2">
        <f t="shared" si="42"/>
        <v>40.418309035713278</v>
      </c>
      <c r="S65" s="2">
        <f>SUM(Q65:Q74)</f>
        <v>376.13611569837872</v>
      </c>
      <c r="T65" s="2">
        <f>SUM(R65:R74)</f>
        <v>80.508836450887543</v>
      </c>
      <c r="U65" s="2">
        <f>1</f>
        <v>1</v>
      </c>
      <c r="V65" s="2">
        <f t="shared" si="43"/>
        <v>75.176376372654701</v>
      </c>
      <c r="W65" s="2">
        <f>SUMPRODUCT(U65:U73,V65:V73)</f>
        <v>171.78089802498545</v>
      </c>
      <c r="X65" s="2">
        <f>IF(Q65=0,0,((W65+(betaPrime*(S65-S74)))-(($BB$18*(T65-T23))*(D65&lt;=$BB$4)))/Q65)</f>
        <v>0.96259322345350351</v>
      </c>
      <c r="Y65" s="4">
        <f t="shared" si="44"/>
        <v>96259</v>
      </c>
      <c r="Z65" s="2">
        <f t="shared" si="45"/>
        <v>0</v>
      </c>
      <c r="AA65" s="2">
        <f t="shared" si="46"/>
        <v>0.96259322345350351</v>
      </c>
      <c r="AB65" s="2">
        <f t="shared" si="47"/>
        <v>0.96259322345350351</v>
      </c>
      <c r="AC65" s="2">
        <f t="shared" si="48"/>
        <v>0.62555112702547333</v>
      </c>
      <c r="AD65" s="2">
        <f t="shared" si="49"/>
        <v>1.5387922455366392</v>
      </c>
    </row>
    <row r="66" spans="4:30" x14ac:dyDescent="0.45">
      <c r="D66" s="1">
        <v>63</v>
      </c>
      <c r="E66" s="1">
        <f t="shared" si="34"/>
        <v>103</v>
      </c>
      <c r="F66" s="3">
        <v>0.45090000000000002</v>
      </c>
      <c r="G66" s="3">
        <v>8.1589999999999996E-3</v>
      </c>
      <c r="H66" s="3">
        <v>4.0474999999999997E-2</v>
      </c>
      <c r="I66" s="3">
        <f t="shared" si="35"/>
        <v>0.21105540581111709</v>
      </c>
      <c r="J66" s="3">
        <f t="shared" si="36"/>
        <v>0.2084656708525304</v>
      </c>
      <c r="K66" s="2">
        <f t="shared" si="37"/>
        <v>0.45721955344999998</v>
      </c>
      <c r="L66" s="2">
        <f t="shared" si="64"/>
        <v>474.90407238151715</v>
      </c>
      <c r="M66" s="2">
        <f t="shared" si="38"/>
        <v>4.8303764475000066E-2</v>
      </c>
      <c r="N66" s="2">
        <f t="shared" si="39"/>
        <v>0.4883136807741113</v>
      </c>
      <c r="O66" s="2">
        <f t="shared" si="65"/>
        <v>101.39562966227804</v>
      </c>
      <c r="P66" s="2">
        <f t="shared" si="40"/>
        <v>217.13542790586374</v>
      </c>
      <c r="Q66" s="2">
        <f t="shared" si="41"/>
        <v>100.23107171783323</v>
      </c>
      <c r="R66" s="2">
        <f t="shared" si="42"/>
        <v>21.400095765845833</v>
      </c>
      <c r="S66" s="2">
        <f>SUM(Q66:Q74)</f>
        <v>197.28898697765632</v>
      </c>
      <c r="T66" s="2">
        <f>SUM(R66:R74)</f>
        <v>40.090527415174236</v>
      </c>
      <c r="U66" s="2">
        <f>1</f>
        <v>1</v>
      </c>
      <c r="V66" s="2">
        <f t="shared" si="43"/>
        <v>45.265282644247137</v>
      </c>
      <c r="W66" s="2">
        <f>SUMPRODUCT(U66:U73,V66:V73)</f>
        <v>96.60452165233076</v>
      </c>
      <c r="X66" s="2">
        <f>IF(Q66=0,0,((W66+(betaPrime*(S66-S74)))-(($BB$18*(T66-T23))*(D66&lt;=$BB$4)))/Q66)</f>
        <v>0.96578644705926375</v>
      </c>
      <c r="Y66" s="4">
        <f t="shared" si="44"/>
        <v>96579</v>
      </c>
      <c r="Z66" s="2">
        <f t="shared" si="45"/>
        <v>0</v>
      </c>
      <c r="AA66" s="2">
        <f t="shared" si="46"/>
        <v>0.96578644705926375</v>
      </c>
      <c r="AB66" s="2">
        <f t="shared" si="47"/>
        <v>0.96578644705926375</v>
      </c>
      <c r="AC66" s="2">
        <f t="shared" si="48"/>
        <v>0.62555112702547333</v>
      </c>
      <c r="AD66" s="2">
        <f t="shared" si="49"/>
        <v>1.5438969020032403</v>
      </c>
    </row>
    <row r="67" spans="4:30" x14ac:dyDescent="0.45">
      <c r="D67" s="1">
        <v>64</v>
      </c>
      <c r="E67" s="1">
        <f t="shared" ref="E67:E98" si="68">x_age+D67</f>
        <v>104</v>
      </c>
      <c r="F67" s="3">
        <v>0.48142000000000001</v>
      </c>
      <c r="G67" s="3">
        <v>8.6409999999999994E-3</v>
      </c>
      <c r="H67" s="3">
        <v>4.0475999999999998E-2</v>
      </c>
      <c r="I67" s="3">
        <f t="shared" ref="I67:I74" si="69">v_disc^(D67)</f>
        <v>0.20590771298645566</v>
      </c>
      <c r="J67" s="3">
        <f t="shared" ref="J67:J74" si="70">v_disc^(D67+0.5)</f>
        <v>0.20338114229515167</v>
      </c>
      <c r="K67" s="2">
        <f t="shared" ref="K67:K74" si="71">MIN(1,((F67+G67)-((F67*G67)/2)))</f>
        <v>0.48798102489</v>
      </c>
      <c r="L67" s="2">
        <f t="shared" si="64"/>
        <v>257.76864447565339</v>
      </c>
      <c r="M67" s="2">
        <f t="shared" ref="M67:M74" si="72">(1-((1-G67)*(1-H67)))</f>
        <v>4.8767246883999915E-2</v>
      </c>
      <c r="N67" s="2">
        <f t="shared" ref="N67:N98" si="73">MIN(1,((F67+M67)-((F67*M67)/2)))</f>
        <v>0.51844848288655221</v>
      </c>
      <c r="O67" s="2">
        <f t="shared" si="65"/>
        <v>51.882756527482393</v>
      </c>
      <c r="P67" s="2">
        <f t="shared" ref="P67:P74" si="74">(L67*K67)</f>
        <v>125.78620731573538</v>
      </c>
      <c r="Q67" s="2">
        <f t="shared" ref="Q67:Q74" si="75">(L67*I67)</f>
        <v>53.076552063600566</v>
      </c>
      <c r="R67" s="2">
        <f t="shared" ref="R67:R74" si="76">(O67*I67)</f>
        <v>10.683059740007003</v>
      </c>
      <c r="S67" s="2">
        <f>SUM(Q67:Q74)</f>
        <v>97.057915259823091</v>
      </c>
      <c r="T67" s="2">
        <f>SUM(R67:R74)</f>
        <v>18.69043164932841</v>
      </c>
      <c r="U67" s="2">
        <f>1</f>
        <v>1</v>
      </c>
      <c r="V67" s="2">
        <f t="shared" ref="V67:V74" si="77">((L67*K67)*J67)</f>
        <v>25.582542528849025</v>
      </c>
      <c r="W67" s="2">
        <f>SUMPRODUCT(U67:U73,V67:V73)</f>
        <v>51.339239008083617</v>
      </c>
      <c r="X67" s="2">
        <f>IF(Q67=0,0,((W67+(betaPrime*(S67-S74)))-(($BB$18*(T67-T23))*(D67&lt;=$BB$4)))/Q67)</f>
        <v>0.9690964262657521</v>
      </c>
      <c r="Y67" s="4">
        <f t="shared" ref="Y67:Y98" si="78">ROUND((X67*100000),0)</f>
        <v>96910</v>
      </c>
      <c r="Z67" s="2">
        <f t="shared" ref="Z67:Z74" si="79">(($BB$19*MAX((MIN($BB$4,7)-D67),0))/MIN($BB$4,7))</f>
        <v>0</v>
      </c>
      <c r="AA67" s="2">
        <f t="shared" ref="AA67:AA98" si="80">MAX((X67-Z67),0)</f>
        <v>0.9690964262657521</v>
      </c>
      <c r="AB67" s="2">
        <f t="shared" ref="AB67:AB98" si="81">AA67</f>
        <v>0.9690964262657521</v>
      </c>
      <c r="AC67" s="2">
        <f t="shared" ref="AC67:AC74" si="82">((MIN(D67,$BB$4)*k_freq)*$BB$14)</f>
        <v>0.62555112702547333</v>
      </c>
      <c r="AD67" s="2">
        <f t="shared" ref="AD67:AD98" si="83">IF(AC67=0,0,AB67/AC67)</f>
        <v>1.5491882028473896</v>
      </c>
    </row>
    <row r="68" spans="4:30" x14ac:dyDescent="0.45">
      <c r="D68" s="1">
        <v>65</v>
      </c>
      <c r="E68" s="1">
        <f t="shared" si="68"/>
        <v>105</v>
      </c>
      <c r="F68" s="3">
        <v>0.54379999999999995</v>
      </c>
      <c r="G68" s="3">
        <v>9.1520000000000004E-3</v>
      </c>
      <c r="H68" s="3">
        <v>4.0474999999999997E-2</v>
      </c>
      <c r="I68" s="3">
        <f t="shared" si="69"/>
        <v>0.20088557364532261</v>
      </c>
      <c r="J68" s="3">
        <f t="shared" si="70"/>
        <v>0.19842062662941626</v>
      </c>
      <c r="K68" s="2">
        <f t="shared" si="71"/>
        <v>0.5504635712</v>
      </c>
      <c r="L68" s="2">
        <f t="shared" ref="L68:L74" si="84">(L67*(1-K67))</f>
        <v>131.98243715991799</v>
      </c>
      <c r="M68" s="2">
        <f t="shared" si="72"/>
        <v>4.9256572800000065E-2</v>
      </c>
      <c r="N68" s="2">
        <f t="shared" si="73"/>
        <v>0.57966371065568001</v>
      </c>
      <c r="O68" s="2">
        <f t="shared" ref="O68:O74" si="85">(O67*(1-N67))</f>
        <v>24.984220117836781</v>
      </c>
      <c r="P68" s="2">
        <f t="shared" si="74"/>
        <v>72.651523694728041</v>
      </c>
      <c r="Q68" s="2">
        <f t="shared" si="75"/>
        <v>26.513367599977869</v>
      </c>
      <c r="R68" s="2">
        <f t="shared" si="76"/>
        <v>5.0189693904526518</v>
      </c>
      <c r="S68" s="2">
        <f>SUM(Q68:Q74)</f>
        <v>43.981363196222539</v>
      </c>
      <c r="T68" s="2">
        <f>SUM(R68:R74)</f>
        <v>8.0073719093214066</v>
      </c>
      <c r="U68" s="2">
        <f>1</f>
        <v>1</v>
      </c>
      <c r="V68" s="2">
        <f t="shared" si="77"/>
        <v>14.415560857089821</v>
      </c>
      <c r="W68" s="2">
        <f>SUMPRODUCT(U68:U73,V68:V73)</f>
        <v>25.756696479234595</v>
      </c>
      <c r="X68" s="2">
        <f>IF(Q68=0,0,((W68+(betaPrime*(S68-S74)))-(($BB$18*(T68-T23))*(D68&lt;=$BB$4)))/Q68)</f>
        <v>0.97311960636989603</v>
      </c>
      <c r="Y68" s="4">
        <f t="shared" si="78"/>
        <v>97312</v>
      </c>
      <c r="Z68" s="2">
        <f t="shared" si="79"/>
        <v>0</v>
      </c>
      <c r="AA68" s="2">
        <f t="shared" si="80"/>
        <v>0.97311960636989603</v>
      </c>
      <c r="AB68" s="2">
        <f t="shared" si="81"/>
        <v>0.97311960636989603</v>
      </c>
      <c r="AC68" s="2">
        <f t="shared" si="82"/>
        <v>0.62555112702547333</v>
      </c>
      <c r="AD68" s="2">
        <f t="shared" si="83"/>
        <v>1.555619619769735</v>
      </c>
    </row>
    <row r="69" spans="4:30" x14ac:dyDescent="0.45">
      <c r="D69" s="1">
        <v>66</v>
      </c>
      <c r="E69" s="1">
        <f t="shared" si="68"/>
        <v>106</v>
      </c>
      <c r="F69" s="3">
        <v>0.61426000000000003</v>
      </c>
      <c r="G69" s="3">
        <v>9.6950000000000005E-3</v>
      </c>
      <c r="H69" s="3">
        <v>4.0474999999999997E-2</v>
      </c>
      <c r="I69" s="3">
        <f t="shared" si="69"/>
        <v>0.19598592550763183</v>
      </c>
      <c r="J69" s="3">
        <f t="shared" si="70"/>
        <v>0.19358109915065003</v>
      </c>
      <c r="K69" s="2">
        <f t="shared" si="71"/>
        <v>0.62097737465000002</v>
      </c>
      <c r="L69" s="2">
        <f t="shared" si="84"/>
        <v>59.330913465189951</v>
      </c>
      <c r="M69" s="2">
        <f t="shared" si="72"/>
        <v>4.9777594874999997E-2</v>
      </c>
      <c r="N69" s="2">
        <f t="shared" si="73"/>
        <v>0.64874940216104127</v>
      </c>
      <c r="O69" s="2">
        <f t="shared" si="85"/>
        <v>10.501774376493222</v>
      </c>
      <c r="P69" s="2">
        <f t="shared" si="74"/>
        <v>36.843154879199993</v>
      </c>
      <c r="Q69" s="2">
        <f t="shared" si="75"/>
        <v>11.628023986688468</v>
      </c>
      <c r="R69" s="2">
        <f t="shared" si="76"/>
        <v>2.0581999706493574</v>
      </c>
      <c r="S69" s="2">
        <f>SUM(Q69:Q74)</f>
        <v>17.467995596244666</v>
      </c>
      <c r="T69" s="2">
        <f>SUM(R69:R74)</f>
        <v>2.9884025188687566</v>
      </c>
      <c r="U69" s="2">
        <f>1</f>
        <v>1</v>
      </c>
      <c r="V69" s="2">
        <f t="shared" si="77"/>
        <v>7.1321384176931693</v>
      </c>
      <c r="W69" s="2">
        <f>SUMPRODUCT(U69:U73,V69:V73)</f>
        <v>11.341135622144774</v>
      </c>
      <c r="X69" s="2">
        <f>IF(Q69=0,0,((W69+(betaPrime*(S69-S74)))-(($BB$18*(T69-T23))*(D69&lt;=$BB$4)))/Q69)</f>
        <v>0.97683008142605521</v>
      </c>
      <c r="Y69" s="4">
        <f t="shared" si="78"/>
        <v>97683</v>
      </c>
      <c r="Z69" s="2">
        <f t="shared" si="79"/>
        <v>0</v>
      </c>
      <c r="AA69" s="2">
        <f t="shared" si="80"/>
        <v>0.97683008142605521</v>
      </c>
      <c r="AB69" s="2">
        <f t="shared" si="81"/>
        <v>0.97683008142605521</v>
      </c>
      <c r="AC69" s="2">
        <f t="shared" si="82"/>
        <v>0.62555112702547333</v>
      </c>
      <c r="AD69" s="2">
        <f t="shared" si="83"/>
        <v>1.5615511494175236</v>
      </c>
    </row>
    <row r="70" spans="4:30" x14ac:dyDescent="0.45">
      <c r="D70" s="1">
        <v>67</v>
      </c>
      <c r="E70" s="1">
        <f t="shared" si="68"/>
        <v>107</v>
      </c>
      <c r="F70" s="3">
        <v>0.69384999999999997</v>
      </c>
      <c r="G70" s="3">
        <v>1.027E-2</v>
      </c>
      <c r="H70" s="3">
        <v>4.0474999999999997E-2</v>
      </c>
      <c r="I70" s="3">
        <f t="shared" si="69"/>
        <v>0.19120578098305546</v>
      </c>
      <c r="J70" s="3">
        <f t="shared" si="70"/>
        <v>0.18885960892746348</v>
      </c>
      <c r="K70" s="2">
        <f t="shared" si="71"/>
        <v>0.70055708024999996</v>
      </c>
      <c r="L70" s="2">
        <f t="shared" si="84"/>
        <v>22.487758585989958</v>
      </c>
      <c r="M70" s="2">
        <f t="shared" si="72"/>
        <v>5.0329321750000044E-2</v>
      </c>
      <c r="N70" s="2">
        <f t="shared" si="73"/>
        <v>0.7267188218018813</v>
      </c>
      <c r="O70" s="2">
        <f t="shared" si="85"/>
        <v>3.688754528113102</v>
      </c>
      <c r="P70" s="2">
        <f t="shared" si="74"/>
        <v>15.753958496367993</v>
      </c>
      <c r="Q70" s="2">
        <f t="shared" si="75"/>
        <v>4.2997894429926209</v>
      </c>
      <c r="R70" s="2">
        <f t="shared" si="76"/>
        <v>0.70531119040264789</v>
      </c>
      <c r="S70" s="2">
        <f>SUM(Q70:Q74)</f>
        <v>5.8399716095561978</v>
      </c>
      <c r="T70" s="2">
        <f>SUM(R70:R74)</f>
        <v>0.93020254821939918</v>
      </c>
      <c r="U70" s="2">
        <f>1</f>
        <v>1</v>
      </c>
      <c r="V70" s="2">
        <f t="shared" si="77"/>
        <v>2.9752864406835497</v>
      </c>
      <c r="W70" s="2">
        <f>SUMPRODUCT(U70:U73,V70:V73)</f>
        <v>4.2089972044516042</v>
      </c>
      <c r="X70" s="2">
        <f>IF(Q70=0,0,((W70+(betaPrime*(S70-S74)))-(($BB$18*(T70-T23))*(D70&lt;=$BB$4)))/Q70)</f>
        <v>0.9802426914020389</v>
      </c>
      <c r="Y70" s="4">
        <f t="shared" si="78"/>
        <v>98024</v>
      </c>
      <c r="Z70" s="2">
        <f t="shared" si="79"/>
        <v>0</v>
      </c>
      <c r="AA70" s="2">
        <f t="shared" si="80"/>
        <v>0.9802426914020389</v>
      </c>
      <c r="AB70" s="2">
        <f t="shared" si="81"/>
        <v>0.9802426914020389</v>
      </c>
      <c r="AC70" s="2">
        <f t="shared" si="82"/>
        <v>0.62555112702547333</v>
      </c>
      <c r="AD70" s="2">
        <f t="shared" si="83"/>
        <v>1.5670065148202059</v>
      </c>
    </row>
    <row r="71" spans="4:30" x14ac:dyDescent="0.45">
      <c r="D71" s="1">
        <v>68</v>
      </c>
      <c r="E71" s="1">
        <f t="shared" si="68"/>
        <v>108</v>
      </c>
      <c r="F71" s="3">
        <v>0.78374999999999995</v>
      </c>
      <c r="G71" s="3">
        <v>1.0880000000000001E-2</v>
      </c>
      <c r="H71" s="3">
        <v>4.0474999999999997E-2</v>
      </c>
      <c r="I71" s="3">
        <f t="shared" si="69"/>
        <v>0.18654222534932241</v>
      </c>
      <c r="J71" s="3">
        <f t="shared" si="70"/>
        <v>0.1842532770024034</v>
      </c>
      <c r="K71" s="2">
        <f t="shared" si="71"/>
        <v>0.79036639999999991</v>
      </c>
      <c r="L71" s="2">
        <f t="shared" si="84"/>
        <v>6.7338000896219654</v>
      </c>
      <c r="M71" s="2">
        <f t="shared" si="72"/>
        <v>5.0914632000000015E-2</v>
      </c>
      <c r="N71" s="2">
        <f t="shared" si="73"/>
        <v>0.81471246058499991</v>
      </c>
      <c r="O71" s="2">
        <f t="shared" si="85"/>
        <v>1.0080671835263939</v>
      </c>
      <c r="P71" s="2">
        <f t="shared" si="74"/>
        <v>5.3221693351541894</v>
      </c>
      <c r="Q71" s="2">
        <f t="shared" si="75"/>
        <v>1.2561380537755482</v>
      </c>
      <c r="R71" s="2">
        <f t="shared" si="76"/>
        <v>0.18804709571663733</v>
      </c>
      <c r="S71" s="2">
        <f>SUM(Q71:Q74)</f>
        <v>1.5401821665635769</v>
      </c>
      <c r="T71" s="2">
        <f>SUM(R71:R74)</f>
        <v>0.22489135781675124</v>
      </c>
      <c r="U71" s="2">
        <f>1</f>
        <v>1</v>
      </c>
      <c r="V71" s="2">
        <f t="shared" si="77"/>
        <v>0.98062714076386204</v>
      </c>
      <c r="W71" s="2">
        <f>SUMPRODUCT(U71:U73,V71:V73)</f>
        <v>1.2337107637680547</v>
      </c>
      <c r="X71" s="2">
        <f>IF(Q71=0,0,((W71+(betaPrime*(S71-S74)))-(($BB$18*(T71-T23))*(D71&lt;=$BB$4)))/Q71)</f>
        <v>0.98337196474690813</v>
      </c>
      <c r="Y71" s="4">
        <f t="shared" si="78"/>
        <v>98337</v>
      </c>
      <c r="Z71" s="2">
        <f t="shared" si="79"/>
        <v>0</v>
      </c>
      <c r="AA71" s="2">
        <f t="shared" si="80"/>
        <v>0.98337196474690813</v>
      </c>
      <c r="AB71" s="2">
        <f t="shared" si="81"/>
        <v>0.98337196474690813</v>
      </c>
      <c r="AC71" s="2">
        <f t="shared" si="82"/>
        <v>0.62555112702547333</v>
      </c>
      <c r="AD71" s="2">
        <f t="shared" si="83"/>
        <v>1.5720089410163653</v>
      </c>
    </row>
    <row r="72" spans="4:30" x14ac:dyDescent="0.45">
      <c r="D72" s="1">
        <v>69</v>
      </c>
      <c r="E72" s="1">
        <f t="shared" si="68"/>
        <v>109</v>
      </c>
      <c r="F72" s="3">
        <v>0.88529999999999998</v>
      </c>
      <c r="G72" s="3">
        <v>1.1528E-2</v>
      </c>
      <c r="H72" s="3">
        <v>4.0474999999999997E-2</v>
      </c>
      <c r="I72" s="3">
        <f t="shared" si="69"/>
        <v>0.1819924149749487</v>
      </c>
      <c r="J72" s="3">
        <f t="shared" si="70"/>
        <v>0.17975929463649112</v>
      </c>
      <c r="K72" s="2">
        <f t="shared" si="71"/>
        <v>0.89172513079999993</v>
      </c>
      <c r="L72" s="2">
        <f t="shared" si="84"/>
        <v>1.4116307544677758</v>
      </c>
      <c r="M72" s="2">
        <f t="shared" si="72"/>
        <v>5.1536404200000052E-2</v>
      </c>
      <c r="N72" s="2">
        <f t="shared" si="73"/>
        <v>0.91402381488087003</v>
      </c>
      <c r="O72" s="2">
        <f t="shared" si="85"/>
        <v>0.18678228800061483</v>
      </c>
      <c r="P72" s="2">
        <f t="shared" si="74"/>
        <v>1.25878661916908</v>
      </c>
      <c r="Q72" s="2">
        <f t="shared" si="75"/>
        <v>0.25690609005849935</v>
      </c>
      <c r="R72" s="2">
        <f t="shared" si="76"/>
        <v>3.3992959667778273E-2</v>
      </c>
      <c r="S72" s="2">
        <f>SUM(Q72:Q74)</f>
        <v>0.2840441127880286</v>
      </c>
      <c r="T72" s="2">
        <f>SUM(R72:R74)</f>
        <v>3.6844262100113906E-2</v>
      </c>
      <c r="U72" s="2">
        <f>1</f>
        <v>1</v>
      </c>
      <c r="V72" s="2">
        <f t="shared" si="77"/>
        <v>0.2262785947596872</v>
      </c>
      <c r="W72" s="2">
        <f>SUMPRODUCT(U72:U73,V72:V73)</f>
        <v>0.25308362300419257</v>
      </c>
      <c r="X72" s="2">
        <f>IF(Q72=0,0,((W72+(betaPrime*(S72-S74)))-(($BB$18*(T72-T23))*(D72&lt;=$BB$4)))/Q72)</f>
        <v>0.98622678450046464</v>
      </c>
      <c r="Y72" s="4">
        <f t="shared" si="78"/>
        <v>98623</v>
      </c>
      <c r="Z72" s="2">
        <f t="shared" si="79"/>
        <v>0</v>
      </c>
      <c r="AA72" s="2">
        <f t="shared" si="80"/>
        <v>0.98622678450046464</v>
      </c>
      <c r="AB72" s="2">
        <f t="shared" si="81"/>
        <v>0.98622678450046464</v>
      </c>
      <c r="AC72" s="2">
        <f t="shared" si="82"/>
        <v>0.62555112702547333</v>
      </c>
      <c r="AD72" s="2">
        <f t="shared" si="83"/>
        <v>1.576572628347777</v>
      </c>
    </row>
    <row r="73" spans="4:30" x14ac:dyDescent="0.45">
      <c r="D73" s="1">
        <v>70</v>
      </c>
      <c r="E73" s="1">
        <f t="shared" si="68"/>
        <v>110</v>
      </c>
      <c r="F73" s="3">
        <v>1</v>
      </c>
      <c r="G73" s="3">
        <v>1.1528E-2</v>
      </c>
      <c r="H73" s="3">
        <v>4.0474999999999997E-2</v>
      </c>
      <c r="I73" s="3">
        <f t="shared" si="69"/>
        <v>0.17755357558531584</v>
      </c>
      <c r="J73" s="3">
        <f t="shared" si="70"/>
        <v>0.17537492159657672</v>
      </c>
      <c r="K73" s="2">
        <f t="shared" si="71"/>
        <v>1</v>
      </c>
      <c r="L73" s="2">
        <f t="shared" si="84"/>
        <v>0.15284413529869584</v>
      </c>
      <c r="M73" s="2">
        <f t="shared" si="72"/>
        <v>5.1536404200000052E-2</v>
      </c>
      <c r="N73" s="2">
        <f t="shared" si="73"/>
        <v>1</v>
      </c>
      <c r="O73" s="2">
        <f t="shared" si="85"/>
        <v>1.6058828570115508E-2</v>
      </c>
      <c r="P73" s="2">
        <f t="shared" si="74"/>
        <v>0.15284413529869584</v>
      </c>
      <c r="Q73" s="2">
        <f t="shared" si="75"/>
        <v>2.7138022729529233E-2</v>
      </c>
      <c r="R73" s="2">
        <f t="shared" si="76"/>
        <v>2.8513024323356334E-3</v>
      </c>
      <c r="S73" s="2">
        <f>SUM(Q73:Q74)</f>
        <v>2.7138022729529233E-2</v>
      </c>
      <c r="T73" s="2">
        <f>SUM(R73:R74)</f>
        <v>2.8513024323356334E-3</v>
      </c>
      <c r="U73" s="2">
        <f>1</f>
        <v>1</v>
      </c>
      <c r="V73" s="2">
        <f t="shared" si="77"/>
        <v>2.6805028244505348E-2</v>
      </c>
      <c r="W73" s="2">
        <f>SUMPRODUCT(U73:U73,V73:V73)</f>
        <v>2.6805028244505348E-2</v>
      </c>
      <c r="X73" s="2">
        <f>IF(Q73=0,0,((W73+(betaPrime*(S73-S74)))-(($BB$18*(T73-T23))*(D73&lt;=$BB$4)))/Q73)</f>
        <v>0.98872959664959126</v>
      </c>
      <c r="Y73" s="4">
        <f t="shared" si="78"/>
        <v>98873</v>
      </c>
      <c r="Z73" s="2">
        <f t="shared" si="79"/>
        <v>0</v>
      </c>
      <c r="AA73" s="2">
        <f t="shared" si="80"/>
        <v>0.98872959664959126</v>
      </c>
      <c r="AB73" s="2">
        <f t="shared" si="81"/>
        <v>0.98872959664959126</v>
      </c>
      <c r="AC73" s="2">
        <f t="shared" si="82"/>
        <v>0.62555112702547333</v>
      </c>
      <c r="AD73" s="2">
        <f t="shared" si="83"/>
        <v>1.5805735997168602</v>
      </c>
    </row>
    <row r="74" spans="4:30" x14ac:dyDescent="0.45">
      <c r="D74" s="1">
        <v>71</v>
      </c>
      <c r="E74" s="1">
        <f t="shared" si="68"/>
        <v>111</v>
      </c>
      <c r="F74" s="3">
        <v>0</v>
      </c>
      <c r="G74" s="3">
        <v>0</v>
      </c>
      <c r="H74" s="3">
        <v>0</v>
      </c>
      <c r="I74" s="3">
        <f t="shared" si="69"/>
        <v>0.17322300057103984</v>
      </c>
      <c r="J74" s="3">
        <f t="shared" si="70"/>
        <v>0.17109748448446513</v>
      </c>
      <c r="K74" s="2">
        <f t="shared" si="71"/>
        <v>0</v>
      </c>
      <c r="L74" s="2">
        <f t="shared" si="84"/>
        <v>0</v>
      </c>
      <c r="M74" s="2">
        <f t="shared" si="72"/>
        <v>0</v>
      </c>
      <c r="N74" s="2">
        <f t="shared" si="73"/>
        <v>0</v>
      </c>
      <c r="O74" s="2">
        <f t="shared" si="85"/>
        <v>0</v>
      </c>
      <c r="P74" s="2">
        <f t="shared" si="74"/>
        <v>0</v>
      </c>
      <c r="Q74" s="2">
        <f t="shared" si="75"/>
        <v>0</v>
      </c>
      <c r="R74" s="2">
        <f t="shared" si="76"/>
        <v>0</v>
      </c>
      <c r="S74" s="2">
        <f>SUM(Q74:Q74)</f>
        <v>0</v>
      </c>
      <c r="T74" s="2">
        <f>SUM(R74:R74)</f>
        <v>0</v>
      </c>
      <c r="U74" s="2">
        <f>1</f>
        <v>1</v>
      </c>
      <c r="V74" s="2">
        <f t="shared" si="77"/>
        <v>0</v>
      </c>
      <c r="W74" s="2">
        <f>0</f>
        <v>0</v>
      </c>
      <c r="X74" s="2">
        <f>IF(Q74=0,0,((W74+(betaPrime*(S74-S74)))-(($BB$18*(T74-T23))*(D74&lt;=$BB$4)))/Q74)</f>
        <v>0</v>
      </c>
      <c r="Y74" s="4">
        <f t="shared" si="78"/>
        <v>0</v>
      </c>
      <c r="Z74" s="2">
        <f t="shared" si="79"/>
        <v>0</v>
      </c>
      <c r="AA74" s="2">
        <f t="shared" si="80"/>
        <v>0</v>
      </c>
      <c r="AB74" s="2">
        <f t="shared" si="81"/>
        <v>0</v>
      </c>
      <c r="AC74" s="2">
        <f t="shared" si="82"/>
        <v>0.62555112702547333</v>
      </c>
      <c r="AD74" s="2">
        <f t="shared" si="83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14</vt:i4>
      </vt:variant>
    </vt:vector>
  </HeadingPairs>
  <TitlesOfParts>
    <vt:vector size="15" baseType="lpstr">
      <vt:lpstr>주계약</vt:lpstr>
      <vt:lpstr>주계약!alphaS</vt:lpstr>
      <vt:lpstr>주계약!betaG</vt:lpstr>
      <vt:lpstr>주계약!betaPrime</vt:lpstr>
      <vt:lpstr>주계약!betaS</vt:lpstr>
      <vt:lpstr>주계약!gamma</vt:lpstr>
      <vt:lpstr>주계약!i_rate</vt:lpstr>
      <vt:lpstr>주계약!i_std</vt:lpstr>
      <vt:lpstr>주계약!k_freq</vt:lpstr>
      <vt:lpstr>per100k_0</vt:lpstr>
      <vt:lpstr>prem_0</vt:lpstr>
      <vt:lpstr>주계약!rho</vt:lpstr>
      <vt:lpstr>주계약!sum_assured</vt:lpstr>
      <vt:lpstr>주계약!v_disc</vt:lpstr>
      <vt:lpstr>주계약!x_age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태교 인</cp:lastModifiedBy>
  <dcterms:modified xsi:type="dcterms:W3CDTF">2026-10-02T06:23:18Z</dcterms:modified>
</cp:coreProperties>
</file>