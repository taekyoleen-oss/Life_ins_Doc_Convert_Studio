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주계약" sheetId="1" r:id="rId1"/>
  </sheets>
  <definedNames>
    <definedName name="x_age" localSheetId="0">'주계약'!$B$2</definedName>
    <definedName name="sum_assured" localSheetId="0">'주계약'!$B$4</definedName>
    <definedName name="k_freq" localSheetId="0">'주계약'!$B$5</definedName>
    <definedName name="i_rate" localSheetId="0">'주계약'!$B$6</definedName>
    <definedName name="v_disc" localSheetId="0">'주계약'!$B$7</definedName>
    <definedName name="i_std" localSheetId="0">'주계약'!$B$8</definedName>
    <definedName name="alphaS" localSheetId="0">'주계약'!$B$9</definedName>
    <definedName name="betaS" localSheetId="0">'주계약'!$B$10</definedName>
    <definedName name="betaG" localSheetId="0">'주계약'!$B$11</definedName>
    <definedName name="betaPrime" localSheetId="0">'주계약'!$B$12</definedName>
    <definedName name="gamma" localSheetId="0">'주계약'!$B$13</definedName>
    <definedName name="rho" localSheetId="0">'주계약'!$B$14</definedName>
    <definedName name="per100k_0">'주계약'!$BR$16</definedName>
    <definedName name="prem_0">'주계약'!$BR$17</definedName>
  </definedNames>
  <calcPr fullCalcOnLoad="1"/>
</workbook>
</file>

<file path=xl/styles.xml><?xml version="1.0" encoding="utf-8"?>
<styleSheet xmlns="http://schemas.openxmlformats.org/spreadsheetml/2006/main">
  <numFmts count="5">
    <numFmt numFmtId="164" formatCode="0"/>
    <numFmt numFmtId="165" formatCode="#,##0.00"/>
    <numFmt numFmtId="166" formatCode="0.00000000"/>
    <numFmt numFmtId="167" formatCode="#,##0"/>
    <numFmt numFmtId="168" formatCode="0.000%"/>
  </numFmts>
  <fonts count="1">
    <font>
      <sz val="11"/>
      <name val="맑은 고딕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applyNumberFormat="1"/>
    <xf numFmtId="164" fontId="0" fillId="0" borderId="0" applyNumberFormat="1"/>
    <xf numFmtId="165" fontId="0" fillId="0" borderId="0" applyNumberFormat="1"/>
    <xf numFmtId="166" fontId="0" fillId="0" borderId="0" applyNumberFormat="1"/>
    <xf numFmtId="167" fontId="0" fillId="0" borderId="0" applyNumberFormat="1"/>
    <xf numFmtId="168" fontId="0" fillId="0" border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5" ySplit="2" topLeftCell="F3" activePane="bottomRight" state="frozen"/>
    </sheetView>
  </sheetViews>
  <cols>
    <col min="1" max="1" width="30" customWidth="1"/>
    <col min="2" max="2" width="16" customWidth="1"/>
    <col min="3" max="3" width="3" customWidth="1"/>
    <col min="4" max="4" width="7" customWidth="1"/>
    <col min="5" max="5" width="8" customWidth="1"/>
    <col min="6" max="6" width="13" customWidth="1"/>
    <col min="7" max="7" width="13" customWidth="1"/>
    <col min="8" max="8" width="13" customWidth="1"/>
    <col min="9" max="9" width="13" customWidth="1"/>
    <col min="10" max="10" width="13" customWidth="1"/>
    <col min="11" max="11" width="13" customWidth="1"/>
    <col min="12" max="12" width="13" customWidth="1"/>
    <col min="13" max="13" width="13" customWidth="1"/>
    <col min="14" max="14" width="13" customWidth="1"/>
    <col min="15" max="15" width="13" customWidth="1"/>
    <col min="16" max="16" width="13" customWidth="1"/>
    <col min="17" max="17" width="13" customWidth="1"/>
    <col min="18" max="18" width="13" customWidth="1"/>
    <col min="19" max="19" width="13" customWidth="1"/>
    <col min="20" max="20" width="13" customWidth="1"/>
    <col min="21" max="21" width="13" customWidth="1"/>
    <col min="22" max="22" width="13" customWidth="1"/>
    <col min="23" max="23" width="13" customWidth="1"/>
    <col min="24" max="24" width="13" customWidth="1"/>
    <col min="25" max="25" width="13" customWidth="1"/>
    <col min="26" max="26" width="13" customWidth="1"/>
    <col min="27" max="27" width="13" customWidth="1"/>
    <col min="28" max="28" width="13" customWidth="1"/>
    <col min="29" max="29" width="13" customWidth="1"/>
    <col min="30" max="30" width="13" customWidth="1"/>
    <col min="31" max="31" width="13" customWidth="1"/>
    <col min="32" max="32" width="13" customWidth="1"/>
    <col min="33" max="33" width="13" customWidth="1"/>
    <col min="34" max="34" width="13" customWidth="1"/>
    <col min="35" max="35" width="13" customWidth="1"/>
    <col min="36" max="36" width="13" customWidth="1"/>
    <col min="37" max="37" width="13" customWidth="1"/>
    <col min="38" max="38" width="13" customWidth="1"/>
    <col min="39" max="39" width="13" customWidth="1"/>
    <col min="40" max="40" width="13" customWidth="1"/>
    <col min="41" max="41" width="13" customWidth="1"/>
    <col min="42" max="42" width="13" customWidth="1"/>
    <col min="43" max="43" width="13" customWidth="1"/>
    <col min="44" max="44" width="13" customWidth="1"/>
    <col min="45" max="45" width="13" customWidth="1"/>
    <col min="46" max="46" width="13" customWidth="1"/>
    <col min="47" max="47" width="13" customWidth="1"/>
    <col min="48" max="48" width="13" customWidth="1"/>
    <col min="49" max="49" width="13" customWidth="1"/>
    <col min="50" max="50" width="13" customWidth="1"/>
    <col min="51" max="51" width="13" customWidth="1"/>
    <col min="52" max="52" width="13" customWidth="1"/>
    <col min="53" max="53" width="13" customWidth="1"/>
    <col min="54" max="54" width="13" customWidth="1"/>
    <col min="55" max="55" width="13" customWidth="1"/>
    <col min="56" max="56" width="13" customWidth="1"/>
    <col min="57" max="57" width="13" customWidth="1"/>
    <col min="58" max="58" width="13" customWidth="1"/>
    <col min="59" max="59" width="13" customWidth="1"/>
    <col min="60" max="60" width="13" customWidth="1"/>
    <col min="61" max="61" width="13" customWidth="1"/>
    <col min="62" max="62" width="13" customWidth="1"/>
    <col min="63" max="63" width="13" customWidth="1"/>
    <col min="64" max="64" width="13" customWidth="1"/>
    <col min="65" max="65" width="13" customWidth="1"/>
    <col min="66" max="66" width="13" customWidth="1"/>
    <col min="67" max="67" width="44" customWidth="1"/>
    <col min="68" max="68" width="16" customWidth="1"/>
    <col min="69" max="69" width="16" customWidth="1"/>
    <col min="70" max="70" width="14" customWidth="1"/>
  </cols>
  <sheetData>
    <row r="1">
      <c r="A1" t="inlineStr">
        <is>
          <t xml:space="preserve">계약 · 기초율 — 주계약</t>
        </is>
      </c>
      <c r="F1" t="inlineStr">
        <is>
          <t xml:space="preserve">위험률 (표에서 온 값)</t>
        </is>
      </c>
      <c r="I1" t="inlineStr">
        <is>
          <t xml:space="preserve">현가율 (이율에서)</t>
        </is>
      </c>
      <c r="K1" t="inlineStr">
        <is>
          <t xml:space="preserve">담보 1: 사망·80% 이상 장해 (생존자 lx(1) 생존자(사망X, 80% 이상 장해X))</t>
        </is>
      </c>
      <c r="AM1" t="inlineStr">
        <is>
          <t xml:space="preserve">담보 2: 암 진단 (생존자 lx(2) 생존자(사망X, 암X))</t>
        </is>
      </c>
      <c r="BO1" t="inlineStr">
        <is>
          <t xml:space="preserve">보험료 계산 · 결과 (담보마다)</t>
        </is>
      </c>
    </row>
    <row r="2">
      <c r="A2" t="inlineStr">
        <is>
          <t xml:space="preserve">가입나이 x (세)</t>
        </is>
      </c>
      <c r="B2" s="4">
        <v>40</v>
      </c>
      <c r="D2" t="inlineStr">
        <is>
          <t xml:space="preserve">t (경과)</t>
        </is>
      </c>
      <c r="E2" t="inlineStr">
        <is>
          <t xml:space="preserve">연령 x+t</t>
        </is>
      </c>
      <c r="F2" t="inlineStr">
        <is>
          <t xml:space="preserve">사망률</t>
        </is>
      </c>
      <c r="G2" t="inlineStr">
        <is>
          <t xml:space="preserve">80% 이상 장해율</t>
        </is>
      </c>
      <c r="H2" t="inlineStr">
        <is>
          <t xml:space="preserve">암발생률</t>
        </is>
      </c>
      <c r="I2" t="inlineStr">
        <is>
          <t xml:space="preserve">v^t 현가율</t>
        </is>
      </c>
      <c r="J2" t="inlineStr">
        <is>
          <t xml:space="preserve">v^{t+½} 현가율</t>
        </is>
      </c>
      <c r="K2" t="inlineStr">
        <is>
          <t xml:space="preserve">Q^{(1)} 결합 탈퇴율 lx(1)</t>
        </is>
      </c>
      <c r="L2" t="inlineStr">
        <is>
          <t xml:space="preserve">l^{(1)} 생존자수 lx(1)</t>
        </is>
      </c>
      <c r="M2" t="inlineStr">
        <is>
          <t xml:space="preserve">D^{(1)} 생존자수의 현가 lx(1)</t>
        </is>
      </c>
      <c r="N2" t="inlineStr">
        <is>
          <t xml:space="preserve">N^{(1)} 생존자수 현가의 누계 lx(1)</t>
        </is>
      </c>
      <c r="O2" t="inlineStr">
        <is>
          <t xml:space="preserve">R^{(3)} 질병 발생률 (곱 결합) lx(3)</t>
        </is>
      </c>
      <c r="P2" t="inlineStr">
        <is>
          <t xml:space="preserve">Q^{(3)} 결합 탈퇴율 lx(3)</t>
        </is>
      </c>
      <c r="Q2" t="inlineStr">
        <is>
          <t xml:space="preserve">l^{(3)} 생존자수 lx(3)</t>
        </is>
      </c>
      <c r="R2" t="inlineStr">
        <is>
          <t xml:space="preserve">D^{(3)} 생존자수의 현가 lx(3)</t>
        </is>
      </c>
      <c r="S2" t="inlineStr">
        <is>
          <t xml:space="preserve">N^{(3)} 생존자수 현가의 누계 lx(3)</t>
        </is>
      </c>
      <c r="T2" t="inlineStr">
        <is>
          <t xml:space="preserve">l 생존자수 (이 담보의 lx)</t>
        </is>
      </c>
      <c r="U2" t="inlineStr">
        <is>
          <t xml:space="preserve">d 지급자수 (급부 발생자)</t>
        </is>
      </c>
      <c r="V2" t="inlineStr">
        <is>
          <t xml:space="preserve">D 생존자수의 현가 (이 담보의 lx)</t>
        </is>
      </c>
      <c r="W2" t="inlineStr">
        <is>
          <t xml:space="preserve">D′ [납입] 생존자수의 현가</t>
        </is>
      </c>
      <c r="X2" t="inlineStr">
        <is>
          <t xml:space="preserve">N 생존자수 현가의 누계 (이 담보의 lx)</t>
        </is>
      </c>
      <c r="Y2" t="inlineStr">
        <is>
          <t xml:space="preserve">N′ [납입] 생존자수 현가의 누계</t>
        </is>
      </c>
      <c r="Z2" t="inlineStr">
        <is>
          <t xml:space="preserve">S 보장금액의 배수</t>
        </is>
      </c>
      <c r="AA2" t="inlineStr">
        <is>
          <t xml:space="preserve">C 급부 발생자의 현가</t>
        </is>
      </c>
      <c r="AB2" t="inlineStr">
        <is>
          <t xml:space="preserve">M 보험금 현가의 누계</t>
        </is>
      </c>
      <c r="AC2" t="inlineStr">
        <is>
          <t xml:space="preserve">V 연말 책임준비금 (1원당)</t>
        </is>
      </c>
      <c r="AD2" t="inlineStr">
        <is>
          <t xml:space="preserve">V^{10만} 10만원당 책임준비금 (원)</t>
        </is>
      </c>
      <c r="AE2" t="inlineStr">
        <is>
          <t xml:space="preserve">V^{표준} 표준기초율 책임준비금</t>
        </is>
      </c>
      <c r="AF2" t="inlineStr">
        <is>
          <t xml:space="preserve">V^{결산} V^{결산}</t>
        </is>
      </c>
      <c r="AG2" t="inlineStr">
        <is>
          <t xml:space="preserve">해약공제 해약공제</t>
        </is>
      </c>
      <c r="AH2" t="inlineStr">
        <is>
          <t xml:space="preserve">W^{표준} 표준형 해지환급금 (1원당)</t>
        </is>
      </c>
      <c r="AI2" t="inlineStr">
        <is>
          <t xml:space="preserve">W 해지환급금 (1원당)</t>
        </is>
      </c>
      <c r="AJ2" t="inlineStr">
        <is>
          <t xml:space="preserve">납입누계 납입보험료 누계 (1원당)</t>
        </is>
      </c>
      <c r="AK2" t="inlineStr">
        <is>
          <t xml:space="preserve">환급률 환급률</t>
        </is>
      </c>
      <c r="AM2" t="inlineStr">
        <is>
          <t xml:space="preserve">Q^{(2)} 결합 탈퇴율 lx(2)</t>
        </is>
      </c>
      <c r="AN2" t="inlineStr">
        <is>
          <t xml:space="preserve">l^{(2)} 생존자수 lx(2)</t>
        </is>
      </c>
      <c r="AO2" t="inlineStr">
        <is>
          <t xml:space="preserve">D^{(2)} 생존자수의 현가 lx(2)</t>
        </is>
      </c>
      <c r="AP2" t="inlineStr">
        <is>
          <t xml:space="preserve">N^{(2)} 생존자수 현가의 누계 lx(2)</t>
        </is>
      </c>
      <c r="AQ2" t="inlineStr">
        <is>
          <t xml:space="preserve">R^{(3)} 질병 발생률 (곱 결합) lx(3)</t>
        </is>
      </c>
      <c r="AR2" t="inlineStr">
        <is>
          <t xml:space="preserve">Q^{(3)} 결합 탈퇴율 lx(3)</t>
        </is>
      </c>
      <c r="AS2" t="inlineStr">
        <is>
          <t xml:space="preserve">l^{(3)} 생존자수 lx(3)</t>
        </is>
      </c>
      <c r="AT2" t="inlineStr">
        <is>
          <t xml:space="preserve">D^{(3)} 생존자수의 현가 lx(3)</t>
        </is>
      </c>
      <c r="AU2" t="inlineStr">
        <is>
          <t xml:space="preserve">N^{(3)} 생존자수 현가의 누계 lx(3)</t>
        </is>
      </c>
      <c r="AV2" t="inlineStr">
        <is>
          <t xml:space="preserve">l 생존자수 (이 담보의 lx)</t>
        </is>
      </c>
      <c r="AW2" t="inlineStr">
        <is>
          <t xml:space="preserve">d 지급자수 (급부 발생자)</t>
        </is>
      </c>
      <c r="AX2" t="inlineStr">
        <is>
          <t xml:space="preserve">D 생존자수의 현가 (이 담보의 lx)</t>
        </is>
      </c>
      <c r="AY2" t="inlineStr">
        <is>
          <t xml:space="preserve">D′ [납입] 생존자수의 현가</t>
        </is>
      </c>
      <c r="AZ2" t="inlineStr">
        <is>
          <t xml:space="preserve">N 생존자수 현가의 누계 (이 담보의 lx)</t>
        </is>
      </c>
      <c r="BA2" t="inlineStr">
        <is>
          <t xml:space="preserve">N′ [납입] 생존자수 현가의 누계</t>
        </is>
      </c>
      <c r="BB2" t="inlineStr">
        <is>
          <t xml:space="preserve">S 보장금액의 배수</t>
        </is>
      </c>
      <c r="BC2" t="inlineStr">
        <is>
          <t xml:space="preserve">C 급부 발생자의 현가</t>
        </is>
      </c>
      <c r="BD2" t="inlineStr">
        <is>
          <t xml:space="preserve">M 보험금 현가의 누계</t>
        </is>
      </c>
      <c r="BE2" t="inlineStr">
        <is>
          <t xml:space="preserve">V 연말 책임준비금 (1원당)</t>
        </is>
      </c>
      <c r="BF2" t="inlineStr">
        <is>
          <t xml:space="preserve">V^{10만} 10만원당 책임준비금 (원)</t>
        </is>
      </c>
      <c r="BG2" t="inlineStr">
        <is>
          <t xml:space="preserve">V^{표준} 표준기초율 책임준비금</t>
        </is>
      </c>
      <c r="BH2" t="inlineStr">
        <is>
          <t xml:space="preserve">V^{결산} V^{결산}</t>
        </is>
      </c>
      <c r="BI2" t="inlineStr">
        <is>
          <t xml:space="preserve">해약공제 해약공제</t>
        </is>
      </c>
      <c r="BJ2" t="inlineStr">
        <is>
          <t xml:space="preserve">W^{표준} 표준형 해지환급금 (1원당)</t>
        </is>
      </c>
      <c r="BK2" t="inlineStr">
        <is>
          <t xml:space="preserve">W 해지환급금 (1원당)</t>
        </is>
      </c>
      <c r="BL2" t="inlineStr">
        <is>
          <t xml:space="preserve">납입누계 납입보험료 누계 (1원당)</t>
        </is>
      </c>
      <c r="BM2" t="inlineStr">
        <is>
          <t xml:space="preserve">환급률 환급률</t>
        </is>
      </c>
      <c r="BP2" t="inlineStr">
        <is>
          <t xml:space="preserve">사망·80% 이상 장해</t>
        </is>
      </c>
      <c r="BQ2" t="inlineStr">
        <is>
          <t xml:space="preserve">암 진단</t>
        </is>
      </c>
      <c r="BR2" t="inlineStr">
        <is>
          <t xml:space="preserve">합계</t>
        </is>
      </c>
    </row>
    <row r="3">
      <c r="A3" t="inlineStr">
        <is>
          <t xml:space="preserve">성별</t>
        </is>
      </c>
      <c r="B3" t="inlineStr">
        <is>
          <t xml:space="preserve">남</t>
        </is>
      </c>
      <c r="D3" s="1">
        <v>0</v>
      </c>
      <c r="E3" s="1">
        <f>x_age+D3</f>
      </c>
      <c r="F3" s="3">
        <v>0.00086</v>
      </c>
      <c r="G3" s="3">
        <v>0.000147</v>
      </c>
      <c r="H3" s="3">
        <v>0.00257</v>
      </c>
      <c r="I3" s="3">
        <f>v_disc^(D3)</f>
      </c>
      <c r="J3" s="3">
        <f>v_disc^(D3+0.5)</f>
      </c>
      <c r="K3" s="2">
        <f>MIN(1,((F3+G3)-((F3*G3)/2)))</f>
      </c>
      <c r="L3" s="2">
        <v>100000</v>
      </c>
      <c r="M3" s="2">
        <f>(L3*I3)</f>
      </c>
      <c r="N3" s="2">
        <f>SUM(M3:M74)</f>
      </c>
      <c r="O3" s="2">
        <f>(1-((1-G3)*(1-H3)))</f>
      </c>
      <c r="P3" s="2">
        <f>MIN(1,((F3+O3)-((F3*O3)/2)))</f>
      </c>
      <c r="Q3" s="2">
        <v>100000</v>
      </c>
      <c r="R3" s="2">
        <f>(Q3*I3)</f>
      </c>
      <c r="S3" s="2">
        <f>SUM(R3:R74)</f>
      </c>
      <c r="T3" s="2">
        <f>L3</f>
      </c>
      <c r="U3" s="2">
        <f>(L3*K3)</f>
      </c>
      <c r="V3" s="2">
        <f>M3</f>
      </c>
      <c r="W3" s="2">
        <f>R3</f>
      </c>
      <c r="X3" s="2">
        <f>N3</f>
      </c>
      <c r="Y3" s="2">
        <f>S3</f>
      </c>
      <c r="Z3" s="2">
        <f>1</f>
      </c>
      <c r="AA3" s="2">
        <f>((L3*K3)*J3)</f>
      </c>
      <c r="AB3" s="2">
        <f>SUMPRODUCT(Z3:Z73,AA3:AA73)</f>
      </c>
      <c r="AC3" s="2">
        <f>IF(V3=0,0,((AB3+(betaPrime*(X23-X74)))-(($BP$18*(Y3-Y23))*(D3&lt;=$BP$4)))/V3)</f>
      </c>
      <c r="AD3" s="4">
        <f>ROUND((AC3*100000),0)</f>
      </c>
      <c r="AE3" s="3">
        <v>3.637978807091713e-17</v>
      </c>
      <c r="AF3" s="2">
        <f>MAX(AC3,AE3)</f>
      </c>
      <c r="AG3" s="2">
        <f>(($BP$19*MAX((MIN($BP$4,7)-D3),0))/MIN($BP$4,7))</f>
      </c>
      <c r="AH3" s="2">
        <f>MAX((AC3-AG3),0)</f>
      </c>
      <c r="AI3" s="2">
        <f>AH3</f>
      </c>
      <c r="AJ3" s="2">
        <f>((MIN(D3,$BP$4)*k_freq)*$BP$14)</f>
      </c>
      <c r="AK3" s="2">
        <f>IF(AJ3=0,0,AI3/AJ3)</f>
      </c>
      <c r="AM3" s="2">
        <f>MIN(1,((F3+H3)-((F3*H3)/2)))</f>
      </c>
      <c r="AN3" s="2">
        <v>100000</v>
      </c>
      <c r="AO3" s="2">
        <f>(AN3*I3)</f>
      </c>
      <c r="AP3" s="2">
        <f>SUM(AO3:AO63)</f>
      </c>
      <c r="AQ3" s="2">
        <f>(1-((1-G3)*(1-H3)))</f>
      </c>
      <c r="AR3" s="2">
        <f>MIN(1,((F3+AQ3)-((F3*AQ3)/2)))</f>
      </c>
      <c r="AS3" s="2">
        <v>100000</v>
      </c>
      <c r="AT3" s="2">
        <f>(AS3*I3)</f>
      </c>
      <c r="AU3" s="2">
        <f>SUM(AT3:AT63)</f>
      </c>
      <c r="AV3" s="2">
        <f>AN3</f>
      </c>
      <c r="AW3" s="2">
        <f>(AN3*H3)</f>
      </c>
      <c r="AX3" s="2">
        <f>AO3</f>
      </c>
      <c r="AY3" s="2">
        <f>AT3</f>
      </c>
      <c r="AZ3" s="2">
        <f>AP3</f>
      </c>
      <c r="BA3" s="2">
        <f>AU3</f>
      </c>
      <c r="BB3" s="2">
        <f>(1*IF((D3=0),(1-(3/12)),1))</f>
      </c>
      <c r="BC3" s="2">
        <f>((AN3*H3)*J3)</f>
      </c>
      <c r="BD3" s="2">
        <f>SUMPRODUCT(BB3:BB62,BC3:BC62)</f>
      </c>
      <c r="BE3" s="2">
        <f>IF(AX3=0,0,((BD3+(betaPrime*(AZ23-AZ63)))-(($BQ$18*(BA3-BA23))*(D3&lt;=$BQ$4)))/AX3)</f>
      </c>
      <c r="BF3" s="4">
        <f>ROUND((BE3*100000),0)</f>
      </c>
      <c r="BG3" s="3">
        <v>0</v>
      </c>
      <c r="BH3" s="2">
        <f>MAX(BE3,BG3)</f>
      </c>
      <c r="BI3" s="2">
        <f>(($BQ$19*MAX((MIN($BQ$4,7)-D3),0))/MIN($BQ$4,7))</f>
      </c>
      <c r="BJ3" s="2">
        <f>MAX((BE3-BI3),0)</f>
      </c>
      <c r="BK3" s="2">
        <f>BJ3</f>
      </c>
      <c r="BL3" s="2">
        <f>((MIN(D3,$BQ$4)*k_freq)*$BQ$14)</f>
      </c>
      <c r="BM3" s="2">
        <f>IF(BL3=0,0,BK3/BL3)</f>
      </c>
      <c r="BO3" t="inlineStr">
        <is>
          <t xml:space="preserve">보장기간 n (년)</t>
        </is>
      </c>
      <c r="BP3" s="1">
        <v>71</v>
      </c>
      <c r="BQ3" s="1">
        <v>60</v>
      </c>
    </row>
    <row r="4">
      <c r="A4" t="inlineStr">
        <is>
          <t xml:space="preserve">보험가입금액 (원)</t>
        </is>
      </c>
      <c r="B4" s="4">
        <v>100000000</v>
      </c>
      <c r="D4" s="1">
        <v>1</v>
      </c>
      <c r="E4" s="1">
        <f>x_age+D4</f>
      </c>
      <c r="F4" s="3">
        <v>0.00094</v>
      </c>
      <c r="G4" s="3">
        <v>0.000159</v>
      </c>
      <c r="H4" s="3">
        <v>0.002702</v>
      </c>
      <c r="I4" s="3">
        <f>v_disc^(D4)</f>
      </c>
      <c r="J4" s="3">
        <f>v_disc^(D4+0.5)</f>
      </c>
      <c r="K4" s="2">
        <f>MIN(1,((F4+G4)-((F4*G4)/2)))</f>
      </c>
      <c r="L4" s="2">
        <f>(L3*(1-K3))</f>
      </c>
      <c r="M4" s="2">
        <f>(L4*I4)</f>
      </c>
      <c r="N4" s="2">
        <f>SUM(M4:M74)</f>
      </c>
      <c r="O4" s="2">
        <f>(1-((1-G4)*(1-H4)))</f>
      </c>
      <c r="P4" s="2">
        <f>MIN(1,((F4+O4)-((F4*O4)/2)))</f>
      </c>
      <c r="Q4" s="2">
        <f>(Q3*(1-P3))</f>
      </c>
      <c r="R4" s="2">
        <f>(Q4*I4)</f>
      </c>
      <c r="S4" s="2">
        <f>SUM(R4:R74)</f>
      </c>
      <c r="T4" s="2">
        <f>L4</f>
      </c>
      <c r="U4" s="2">
        <f>(L4*K4)</f>
      </c>
      <c r="V4" s="2">
        <f>M4</f>
      </c>
      <c r="W4" s="2">
        <f>R4</f>
      </c>
      <c r="X4" s="2">
        <f>N4</f>
      </c>
      <c r="Y4" s="2">
        <f>S4</f>
      </c>
      <c r="Z4" s="2">
        <f>1</f>
      </c>
      <c r="AA4" s="2">
        <f>((L4*K4)*J4)</f>
      </c>
      <c r="AB4" s="2">
        <f>SUMPRODUCT(Z4:Z73,AA4:AA73)</f>
      </c>
      <c r="AC4" s="2">
        <f>IF(V4=0,0,((AB4+(betaPrime*(X23-X74)))-(($BP$18*(Y4-Y23))*(D4&lt;=$BP$4)))/V4)</f>
      </c>
      <c r="AD4" s="4">
        <f>ROUND((AC4*100000),0)</f>
      </c>
      <c r="AE4" s="3">
        <v>0.019850063092752383</v>
      </c>
      <c r="AF4" s="2">
        <f>MAX(AC4,AE4)</f>
      </c>
      <c r="AG4" s="2">
        <f>(($BP$19*MAX((MIN($BP$4,7)-D4),0))/MIN($BP$4,7))</f>
      </c>
      <c r="AH4" s="2">
        <f>MAX((AC4-AG4),0)</f>
      </c>
      <c r="AI4" s="2">
        <f>AH4</f>
      </c>
      <c r="AJ4" s="2">
        <f>((MIN(D4,$BP$4)*k_freq)*$BP$14)</f>
      </c>
      <c r="AK4" s="2">
        <f>IF(AJ4=0,0,AI4/AJ4)</f>
      </c>
      <c r="AM4" s="2">
        <f>MIN(1,((F4+H4)-((F4*H4)/2)))</f>
      </c>
      <c r="AN4" s="2">
        <f>(AN3*(1-AM3))</f>
      </c>
      <c r="AO4" s="2">
        <f>(AN4*I4)</f>
      </c>
      <c r="AP4" s="2">
        <f>SUM(AO4:AO63)</f>
      </c>
      <c r="AQ4" s="2">
        <f>(1-((1-G4)*(1-H4)))</f>
      </c>
      <c r="AR4" s="2">
        <f>MIN(1,((F4+AQ4)-((F4*AQ4)/2)))</f>
      </c>
      <c r="AS4" s="2">
        <f>(AS3*(1-AR3))</f>
      </c>
      <c r="AT4" s="2">
        <f>(AS4*I4)</f>
      </c>
      <c r="AU4" s="2">
        <f>SUM(AT4:AT63)</f>
      </c>
      <c r="AV4" s="2">
        <f>AN4</f>
      </c>
      <c r="AW4" s="2">
        <f>(AN4*H4)</f>
      </c>
      <c r="AX4" s="2">
        <f>AO4</f>
      </c>
      <c r="AY4" s="2">
        <f>AT4</f>
      </c>
      <c r="AZ4" s="2">
        <f>AP4</f>
      </c>
      <c r="BA4" s="2">
        <f>AU4</f>
      </c>
      <c r="BB4" s="2">
        <f>(1*IF((D4=0),(1-(3/12)),1))</f>
      </c>
      <c r="BC4" s="2">
        <f>((AN4*H4)*J4)</f>
      </c>
      <c r="BD4" s="2">
        <f>SUMPRODUCT(BB4:BB62,BC4:BC62)</f>
      </c>
      <c r="BE4" s="2">
        <f>IF(AX4=0,0,((BD4+(betaPrime*(AZ23-AZ63)))-(($BQ$18*(BA4-BA23))*(D4&lt;=$BQ$4)))/AX4)</f>
      </c>
      <c r="BF4" s="4">
        <f>ROUND((BE4*100000),0)</f>
      </c>
      <c r="BG4" s="3">
        <v>0.011410287568507519</v>
      </c>
      <c r="BH4" s="2">
        <f>MAX(BE4,BG4)</f>
      </c>
      <c r="BI4" s="2">
        <f>(($BQ$19*MAX((MIN($BQ$4,7)-D4),0))/MIN($BQ$4,7))</f>
      </c>
      <c r="BJ4" s="2">
        <f>MAX((BE4-BI4),0)</f>
      </c>
      <c r="BK4" s="2">
        <f>BJ4</f>
      </c>
      <c r="BL4" s="2">
        <f>((MIN(D4,$BQ$4)*k_freq)*$BQ$14)</f>
      </c>
      <c r="BM4" s="2">
        <f>IF(BL4=0,0,BK4/BL4)</f>
      </c>
      <c r="BO4" t="inlineStr">
        <is>
          <t xml:space="preserve">납입기간 m (년)</t>
        </is>
      </c>
      <c r="BP4" s="1">
        <v>20</v>
      </c>
      <c r="BQ4" s="1">
        <v>20</v>
      </c>
    </row>
    <row r="5">
      <c r="A5" t="inlineStr">
        <is>
          <t xml:space="preserve">납입주기 k (연 납입횟수)</t>
        </is>
      </c>
      <c r="B5" s="4">
        <v>12</v>
      </c>
      <c r="D5" s="1">
        <v>2</v>
      </c>
      <c r="E5" s="1">
        <f>x_age+D5</f>
      </c>
      <c r="F5" s="3">
        <v>0.00105</v>
      </c>
      <c r="G5" s="3">
        <v>0.000171</v>
      </c>
      <c r="H5" s="3">
        <v>0.002822</v>
      </c>
      <c r="I5" s="3">
        <f>v_disc^(D5)</f>
      </c>
      <c r="J5" s="3">
        <f>v_disc^(D5+0.5)</f>
      </c>
      <c r="K5" s="2">
        <f>MIN(1,((F5+G5)-((F5*G5)/2)))</f>
      </c>
      <c r="L5" s="2">
        <f>(L4*(1-K4))</f>
      </c>
      <c r="M5" s="2">
        <f>(L5*I5)</f>
      </c>
      <c r="N5" s="2">
        <f>SUM(M5:M74)</f>
      </c>
      <c r="O5" s="2">
        <f>(1-((1-G5)*(1-H5)))</f>
      </c>
      <c r="P5" s="2">
        <f>MIN(1,((F5+O5)-((F5*O5)/2)))</f>
      </c>
      <c r="Q5" s="2">
        <f>(Q4*(1-P4))</f>
      </c>
      <c r="R5" s="2">
        <f>(Q5*I5)</f>
      </c>
      <c r="S5" s="2">
        <f>SUM(R5:R74)</f>
      </c>
      <c r="T5" s="2">
        <f>L5</f>
      </c>
      <c r="U5" s="2">
        <f>(L5*K5)</f>
      </c>
      <c r="V5" s="2">
        <f>M5</f>
      </c>
      <c r="W5" s="2">
        <f>R5</f>
      </c>
      <c r="X5" s="2">
        <f>N5</f>
      </c>
      <c r="Y5" s="2">
        <f>S5</f>
      </c>
      <c r="Z5" s="2">
        <f>1</f>
      </c>
      <c r="AA5" s="2">
        <f>((L5*K5)*J5)</f>
      </c>
      <c r="AB5" s="2">
        <f>SUMPRODUCT(Z5:Z73,AA5:AA73)</f>
      </c>
      <c r="AC5" s="2">
        <f>IF(V5=0,0,((AB5+(betaPrime*(X23-X74)))-(($BP$18*(Y5-Y23))*(D5&lt;=$BP$4)))/V5)</f>
      </c>
      <c r="AD5" s="4">
        <f>ROUND((AC5*100000),0)</f>
      </c>
      <c r="AE5" s="3">
        <v>0.040222379620431466</v>
      </c>
      <c r="AF5" s="2">
        <f>MAX(AC5,AE5)</f>
      </c>
      <c r="AG5" s="2">
        <f>(($BP$19*MAX((MIN($BP$4,7)-D5),0))/MIN($BP$4,7))</f>
      </c>
      <c r="AH5" s="2">
        <f>MAX((AC5-AG5),0)</f>
      </c>
      <c r="AI5" s="2">
        <f>AH5</f>
      </c>
      <c r="AJ5" s="2">
        <f>((MIN(D5,$BP$4)*k_freq)*$BP$14)</f>
      </c>
      <c r="AK5" s="2">
        <f>IF(AJ5=0,0,AI5/AJ5)</f>
      </c>
      <c r="AM5" s="2">
        <f>MIN(1,((F5+H5)-((F5*H5)/2)))</f>
      </c>
      <c r="AN5" s="2">
        <f>(AN4*(1-AM4))</f>
      </c>
      <c r="AO5" s="2">
        <f>(AN5*I5)</f>
      </c>
      <c r="AP5" s="2">
        <f>SUM(AO5:AO63)</f>
      </c>
      <c r="AQ5" s="2">
        <f>(1-((1-G5)*(1-H5)))</f>
      </c>
      <c r="AR5" s="2">
        <f>MIN(1,((F5+AQ5)-((F5*AQ5)/2)))</f>
      </c>
      <c r="AS5" s="2">
        <f>(AS4*(1-AR4))</f>
      </c>
      <c r="AT5" s="2">
        <f>(AS5*I5)</f>
      </c>
      <c r="AU5" s="2">
        <f>SUM(AT5:AT63)</f>
      </c>
      <c r="AV5" s="2">
        <f>AN5</f>
      </c>
      <c r="AW5" s="2">
        <f>(AN5*H5)</f>
      </c>
      <c r="AX5" s="2">
        <f>AO5</f>
      </c>
      <c r="AY5" s="2">
        <f>AT5</f>
      </c>
      <c r="AZ5" s="2">
        <f>AP5</f>
      </c>
      <c r="BA5" s="2">
        <f>AU5</f>
      </c>
      <c r="BB5" s="2">
        <f>(1*IF((D5=0),(1-(3/12)),1))</f>
      </c>
      <c r="BC5" s="2">
        <f>((AN5*H5)*J5)</f>
      </c>
      <c r="BD5" s="2">
        <f>SUMPRODUCT(BB5:BB62,BC5:BC62)</f>
      </c>
      <c r="BE5" s="2">
        <f>IF(AX5=0,0,((BD5+(betaPrime*(AZ23-AZ63)))-(($BQ$18*(BA5-BA23))*(D5&lt;=$BQ$4)))/AX5)</f>
      </c>
      <c r="BF5" s="4">
        <f>ROUND((BE5*100000),0)</f>
      </c>
      <c r="BG5" s="3">
        <v>0.02244505588388809</v>
      </c>
      <c r="BH5" s="2">
        <f>MAX(BE5,BG5)</f>
      </c>
      <c r="BI5" s="2">
        <f>(($BQ$19*MAX((MIN($BQ$4,7)-D5),0))/MIN($BQ$4,7))</f>
      </c>
      <c r="BJ5" s="2">
        <f>MAX((BE5-BI5),0)</f>
      </c>
      <c r="BK5" s="2">
        <f>BJ5</f>
      </c>
      <c r="BL5" s="2">
        <f>((MIN(D5,$BQ$4)*k_freq)*$BQ$14)</f>
      </c>
      <c r="BM5" s="2">
        <f>IF(BL5=0,0,BK5/BL5)</f>
      </c>
      <c r="BO5" t="inlineStr">
        <is>
          <t xml:space="preserve">보장금액 배수</t>
        </is>
      </c>
      <c r="BP5" s="2">
        <v>1</v>
      </c>
      <c r="BQ5" s="2">
        <v>0.5</v>
      </c>
    </row>
    <row r="6">
      <c r="A6" t="inlineStr">
        <is>
          <t xml:space="preserve">적용이율 i</t>
        </is>
      </c>
      <c r="B6" s="3">
        <v>0.025</v>
      </c>
      <c r="D6" s="1">
        <v>3</v>
      </c>
      <c r="E6" s="1">
        <f>x_age+D6</f>
      </c>
      <c r="F6" s="3">
        <v>0.00118</v>
      </c>
      <c r="G6" s="3">
        <v>0.000186</v>
      </c>
      <c r="H6" s="3">
        <v>0.002923</v>
      </c>
      <c r="I6" s="3">
        <f>v_disc^(D6)</f>
      </c>
      <c r="J6" s="3">
        <f>v_disc^(D6+0.5)</f>
      </c>
      <c r="K6" s="2">
        <f>MIN(1,((F6+G6)-((F6*G6)/2)))</f>
      </c>
      <c r="L6" s="2">
        <f>(L5*(1-K5))</f>
      </c>
      <c r="M6" s="2">
        <f>(L6*I6)</f>
      </c>
      <c r="N6" s="2">
        <f>SUM(M6:M74)</f>
      </c>
      <c r="O6" s="2">
        <f>(1-((1-G6)*(1-H6)))</f>
      </c>
      <c r="P6" s="2">
        <f>MIN(1,((F6+O6)-((F6*O6)/2)))</f>
      </c>
      <c r="Q6" s="2">
        <f>(Q5*(1-P5))</f>
      </c>
      <c r="R6" s="2">
        <f>(Q6*I6)</f>
      </c>
      <c r="S6" s="2">
        <f>SUM(R6:R74)</f>
      </c>
      <c r="T6" s="2">
        <f>L6</f>
      </c>
      <c r="U6" s="2">
        <f>(L6*K6)</f>
      </c>
      <c r="V6" s="2">
        <f>M6</f>
      </c>
      <c r="W6" s="2">
        <f>R6</f>
      </c>
      <c r="X6" s="2">
        <f>N6</f>
      </c>
      <c r="Y6" s="2">
        <f>S6</f>
      </c>
      <c r="Z6" s="2">
        <f>1</f>
      </c>
      <c r="AA6" s="2">
        <f>((L6*K6)*J6)</f>
      </c>
      <c r="AB6" s="2">
        <f>SUMPRODUCT(Z6:Z73,AA6:AA73)</f>
      </c>
      <c r="AC6" s="2">
        <f>IF(V6=0,0,((AB6+(betaPrime*(X23-X74)))-(($BP$18*(Y6-Y23))*(D6&lt;=$BP$4)))/V6)</f>
      </c>
      <c r="AD6" s="4">
        <f>ROUND((AC6*100000),0)</f>
      </c>
      <c r="AE6" s="3">
        <v>0.061107022835162936</v>
      </c>
      <c r="AF6" s="2">
        <f>MAX(AC6,AE6)</f>
      </c>
      <c r="AG6" s="2">
        <f>(($BP$19*MAX((MIN($BP$4,7)-D6),0))/MIN($BP$4,7))</f>
      </c>
      <c r="AH6" s="2">
        <f>MAX((AC6-AG6),0)</f>
      </c>
      <c r="AI6" s="2">
        <f>AH6</f>
      </c>
      <c r="AJ6" s="2">
        <f>((MIN(D6,$BP$4)*k_freq)*$BP$14)</f>
      </c>
      <c r="AK6" s="2">
        <f>IF(AJ6=0,0,AI6/AJ6)</f>
      </c>
      <c r="AM6" s="2">
        <f>MIN(1,((F6+H6)-((F6*H6)/2)))</f>
      </c>
      <c r="AN6" s="2">
        <f>(AN5*(1-AM5))</f>
      </c>
      <c r="AO6" s="2">
        <f>(AN6*I6)</f>
      </c>
      <c r="AP6" s="2">
        <f>SUM(AO6:AO63)</f>
      </c>
      <c r="AQ6" s="2">
        <f>(1-((1-G6)*(1-H6)))</f>
      </c>
      <c r="AR6" s="2">
        <f>MIN(1,((F6+AQ6)-((F6*AQ6)/2)))</f>
      </c>
      <c r="AS6" s="2">
        <f>(AS5*(1-AR5))</f>
      </c>
      <c r="AT6" s="2">
        <f>(AS6*I6)</f>
      </c>
      <c r="AU6" s="2">
        <f>SUM(AT6:AT63)</f>
      </c>
      <c r="AV6" s="2">
        <f>AN6</f>
      </c>
      <c r="AW6" s="2">
        <f>(AN6*H6)</f>
      </c>
      <c r="AX6" s="2">
        <f>AO6</f>
      </c>
      <c r="AY6" s="2">
        <f>AT6</f>
      </c>
      <c r="AZ6" s="2">
        <f>AP6</f>
      </c>
      <c r="BA6" s="2">
        <f>AU6</f>
      </c>
      <c r="BB6" s="2">
        <f>(1*IF((D6=0),(1-(3/12)),1))</f>
      </c>
      <c r="BC6" s="2">
        <f>((AN6*H6)*J6)</f>
      </c>
      <c r="BD6" s="2">
        <f>SUMPRODUCT(BB6:BB62,BC6:BC62)</f>
      </c>
      <c r="BE6" s="2">
        <f>IF(AX6=0,0,((BD6+(betaPrime*(AZ23-AZ63)))-(($BQ$18*(BA6-BA23))*(D6&lt;=$BQ$4)))/AX6)</f>
      </c>
      <c r="BF6" s="4">
        <f>ROUND((BE6*100000),0)</f>
      </c>
      <c r="BG6" s="3">
        <v>0.033763364982673745</v>
      </c>
      <c r="BH6" s="2">
        <f>MAX(BE6,BG6)</f>
      </c>
      <c r="BI6" s="2">
        <f>(($BQ$19*MAX((MIN($BQ$4,7)-D6),0))/MIN($BQ$4,7))</f>
      </c>
      <c r="BJ6" s="2">
        <f>MAX((BE6-BI6),0)</f>
      </c>
      <c r="BK6" s="2">
        <f>BJ6</f>
      </c>
      <c r="BL6" s="2">
        <f>((MIN(D6,$BQ$4)*k_freq)*$BQ$14)</f>
      </c>
      <c r="BM6" s="2">
        <f>IF(BL6=0,0,BK6/BL6)</f>
      </c>
      <c r="BO6" t="inlineStr">
        <is>
          <t xml:space="preserve">보장금액 (원) = 가입금액 × 배수</t>
        </is>
      </c>
      <c r="BP6" s="4">
        <f>sum_assured*$BP$5</f>
      </c>
      <c r="BQ6" s="4">
        <f>sum_assured*$BQ$5</f>
      </c>
    </row>
    <row r="7">
      <c r="A7" t="inlineStr">
        <is>
          <t xml:space="preserve">현가율 v</t>
        </is>
      </c>
      <c r="B7" s="3">
        <f>1/(1+i_rate)</f>
      </c>
      <c r="D7" s="1">
        <v>4</v>
      </c>
      <c r="E7" s="1">
        <f>x_age+D7</f>
      </c>
      <c r="F7" s="3">
        <v>0.00134</v>
      </c>
      <c r="G7" s="3">
        <v>0.000204</v>
      </c>
      <c r="H7" s="3">
        <v>0.003008</v>
      </c>
      <c r="I7" s="3">
        <f>v_disc^(D7)</f>
      </c>
      <c r="J7" s="3">
        <f>v_disc^(D7+0.5)</f>
      </c>
      <c r="K7" s="2">
        <f>MIN(1,((F7+G7)-((F7*G7)/2)))</f>
      </c>
      <c r="L7" s="2">
        <f>(L6*(1-K6))</f>
      </c>
      <c r="M7" s="2">
        <f>(L7*I7)</f>
      </c>
      <c r="N7" s="2">
        <f>SUM(M7:M74)</f>
      </c>
      <c r="O7" s="2">
        <f>(1-((1-G7)*(1-H7)))</f>
      </c>
      <c r="P7" s="2">
        <f>MIN(1,((F7+O7)-((F7*O7)/2)))</f>
      </c>
      <c r="Q7" s="2">
        <f>(Q6*(1-P6))</f>
      </c>
      <c r="R7" s="2">
        <f>(Q7*I7)</f>
      </c>
      <c r="S7" s="2">
        <f>SUM(R7:R74)</f>
      </c>
      <c r="T7" s="2">
        <f>L7</f>
      </c>
      <c r="U7" s="2">
        <f>(L7*K7)</f>
      </c>
      <c r="V7" s="2">
        <f>M7</f>
      </c>
      <c r="W7" s="2">
        <f>R7</f>
      </c>
      <c r="X7" s="2">
        <f>N7</f>
      </c>
      <c r="Y7" s="2">
        <f>S7</f>
      </c>
      <c r="Z7" s="2">
        <f>1</f>
      </c>
      <c r="AA7" s="2">
        <f>((L7*K7)*J7)</f>
      </c>
      <c r="AB7" s="2">
        <f>SUMPRODUCT(Z7:Z73,AA7:AA73)</f>
      </c>
      <c r="AC7" s="2">
        <f>IF(V7=0,0,((AB7+(betaPrime*(X23-X74)))-(($BP$18*(Y7-Y23))*(D7&lt;=$BP$4)))/V7)</f>
      </c>
      <c r="AD7" s="4">
        <f>ROUND((AC7*100000),0)</f>
      </c>
      <c r="AE7" s="3">
        <v>0.08250261451162677</v>
      </c>
      <c r="AF7" s="2">
        <f>MAX(AC7,AE7)</f>
      </c>
      <c r="AG7" s="2">
        <f>(($BP$19*MAX((MIN($BP$4,7)-D7),0))/MIN($BP$4,7))</f>
      </c>
      <c r="AH7" s="2">
        <f>MAX((AC7-AG7),0)</f>
      </c>
      <c r="AI7" s="2">
        <f>AH7</f>
      </c>
      <c r="AJ7" s="2">
        <f>((MIN(D7,$BP$4)*k_freq)*$BP$14)</f>
      </c>
      <c r="AK7" s="2">
        <f>IF(AJ7=0,0,AI7/AJ7)</f>
      </c>
      <c r="AM7" s="2">
        <f>MIN(1,((F7+H7)-((F7*H7)/2)))</f>
      </c>
      <c r="AN7" s="2">
        <f>(AN6*(1-AM6))</f>
      </c>
      <c r="AO7" s="2">
        <f>(AN7*I7)</f>
      </c>
      <c r="AP7" s="2">
        <f>SUM(AO7:AO63)</f>
      </c>
      <c r="AQ7" s="2">
        <f>(1-((1-G7)*(1-H7)))</f>
      </c>
      <c r="AR7" s="2">
        <f>MIN(1,((F7+AQ7)-((F7*AQ7)/2)))</f>
      </c>
      <c r="AS7" s="2">
        <f>(AS6*(1-AR6))</f>
      </c>
      <c r="AT7" s="2">
        <f>(AS7*I7)</f>
      </c>
      <c r="AU7" s="2">
        <f>SUM(AT7:AT63)</f>
      </c>
      <c r="AV7" s="2">
        <f>AN7</f>
      </c>
      <c r="AW7" s="2">
        <f>(AN7*H7)</f>
      </c>
      <c r="AX7" s="2">
        <f>AO7</f>
      </c>
      <c r="AY7" s="2">
        <f>AT7</f>
      </c>
      <c r="AZ7" s="2">
        <f>AP7</f>
      </c>
      <c r="BA7" s="2">
        <f>AU7</f>
      </c>
      <c r="BB7" s="2">
        <f>(1*IF((D7=0),(1-(3/12)),1))</f>
      </c>
      <c r="BC7" s="2">
        <f>((AN7*H7)*J7)</f>
      </c>
      <c r="BD7" s="2">
        <f>SUMPRODUCT(BB7:BB62,BC7:BC62)</f>
      </c>
      <c r="BE7" s="2">
        <f>IF(AX7=0,0,((BD7+(betaPrime*(AZ23-AZ63)))-(($BQ$18*(BA7-BA23))*(D7&lt;=$BQ$4)))/AX7)</f>
      </c>
      <c r="BF7" s="4">
        <f>ROUND((BE7*100000),0)</f>
      </c>
      <c r="BG7" s="3">
        <v>0.04540012781378033</v>
      </c>
      <c r="BH7" s="2">
        <f>MAX(BE7,BG7)</f>
      </c>
      <c r="BI7" s="2">
        <f>(($BQ$19*MAX((MIN($BQ$4,7)-D7),0))/MIN($BQ$4,7))</f>
      </c>
      <c r="BJ7" s="2">
        <f>MAX((BE7-BI7),0)</f>
      </c>
      <c r="BK7" s="2">
        <f>BJ7</f>
      </c>
      <c r="BL7" s="2">
        <f>((MIN(D7,$BQ$4)*k_freq)*$BQ$14)</f>
      </c>
      <c r="BM7" s="2">
        <f>IF(BL7=0,0,BK7/BL7)</f>
      </c>
      <c r="BO7" t="inlineStr">
        <is>
          <t xml:space="preserve">α_P (적용값 — n &lt; 20 이면 × n/20)</t>
        </is>
      </c>
      <c r="BP7" s="3">
        <v>1</v>
      </c>
      <c r="BQ7" s="3">
        <v>1</v>
      </c>
    </row>
    <row r="8">
      <c r="A8" t="inlineStr">
        <is>
          <t xml:space="preserve">표준이율 (해약공제 기준 신계약비의 표준기초율 값에)</t>
        </is>
      </c>
      <c r="B8" s="3">
        <v>0.0325</v>
      </c>
      <c r="D8" s="1">
        <v>5</v>
      </c>
      <c r="E8" s="1">
        <f>x_age+D8</f>
      </c>
      <c r="F8" s="3">
        <v>0.00152</v>
      </c>
      <c r="G8" s="3">
        <v>0.000229</v>
      </c>
      <c r="H8" s="3">
        <v>0.003091</v>
      </c>
      <c r="I8" s="3">
        <f>v_disc^(D8)</f>
      </c>
      <c r="J8" s="3">
        <f>v_disc^(D8+0.5)</f>
      </c>
      <c r="K8" s="2">
        <f>MIN(1,((F8+G8)-((F8*G8)/2)))</f>
      </c>
      <c r="L8" s="2">
        <f>(L7*(1-K7))</f>
      </c>
      <c r="M8" s="2">
        <f>(L8*I8)</f>
      </c>
      <c r="N8" s="2">
        <f>SUM(M8:M74)</f>
      </c>
      <c r="O8" s="2">
        <f>(1-((1-G8)*(1-H8)))</f>
      </c>
      <c r="P8" s="2">
        <f>MIN(1,((F8+O8)-((F8*O8)/2)))</f>
      </c>
      <c r="Q8" s="2">
        <f>(Q7*(1-P7))</f>
      </c>
      <c r="R8" s="2">
        <f>(Q8*I8)</f>
      </c>
      <c r="S8" s="2">
        <f>SUM(R8:R74)</f>
      </c>
      <c r="T8" s="2">
        <f>L8</f>
      </c>
      <c r="U8" s="2">
        <f>(L8*K8)</f>
      </c>
      <c r="V8" s="2">
        <f>M8</f>
      </c>
      <c r="W8" s="2">
        <f>R8</f>
      </c>
      <c r="X8" s="2">
        <f>N8</f>
      </c>
      <c r="Y8" s="2">
        <f>S8</f>
      </c>
      <c r="Z8" s="2">
        <f>1</f>
      </c>
      <c r="AA8" s="2">
        <f>((L8*K8)*J8)</f>
      </c>
      <c r="AB8" s="2">
        <f>SUMPRODUCT(Z8:Z73,AA8:AA73)</f>
      </c>
      <c r="AC8" s="2">
        <f>IF(V8=0,0,((AB8+(betaPrime*(X23-X74)))-(($BP$18*(Y8-Y23))*(D8&lt;=$BP$4)))/V8)</f>
      </c>
      <c r="AD8" s="4">
        <f>ROUND((AC8*100000),0)</f>
      </c>
      <c r="AE8" s="3">
        <v>0.10440071434856353</v>
      </c>
      <c r="AF8" s="2">
        <f>MAX(AC8,AE8)</f>
      </c>
      <c r="AG8" s="2">
        <f>(($BP$19*MAX((MIN($BP$4,7)-D8),0))/MIN($BP$4,7))</f>
      </c>
      <c r="AH8" s="2">
        <f>MAX((AC8-AG8),0)</f>
      </c>
      <c r="AI8" s="2">
        <f>AH8</f>
      </c>
      <c r="AJ8" s="2">
        <f>((MIN(D8,$BP$4)*k_freq)*$BP$14)</f>
      </c>
      <c r="AK8" s="2">
        <f>IF(AJ8=0,0,AI8/AJ8)</f>
      </c>
      <c r="AM8" s="2">
        <f>MIN(1,((F8+H8)-((F8*H8)/2)))</f>
      </c>
      <c r="AN8" s="2">
        <f>(AN7*(1-AM7))</f>
      </c>
      <c r="AO8" s="2">
        <f>(AN8*I8)</f>
      </c>
      <c r="AP8" s="2">
        <f>SUM(AO8:AO63)</f>
      </c>
      <c r="AQ8" s="2">
        <f>(1-((1-G8)*(1-H8)))</f>
      </c>
      <c r="AR8" s="2">
        <f>MIN(1,((F8+AQ8)-((F8*AQ8)/2)))</f>
      </c>
      <c r="AS8" s="2">
        <f>(AS7*(1-AR7))</f>
      </c>
      <c r="AT8" s="2">
        <f>(AS8*I8)</f>
      </c>
      <c r="AU8" s="2">
        <f>SUM(AT8:AT63)</f>
      </c>
      <c r="AV8" s="2">
        <f>AN8</f>
      </c>
      <c r="AW8" s="2">
        <f>(AN8*H8)</f>
      </c>
      <c r="AX8" s="2">
        <f>AO8</f>
      </c>
      <c r="AY8" s="2">
        <f>AT8</f>
      </c>
      <c r="AZ8" s="2">
        <f>AP8</f>
      </c>
      <c r="BA8" s="2">
        <f>AU8</f>
      </c>
      <c r="BB8" s="2">
        <f>(1*IF((D8=0),(1-(3/12)),1))</f>
      </c>
      <c r="BC8" s="2">
        <f>((AN8*H8)*J8)</f>
      </c>
      <c r="BD8" s="2">
        <f>SUMPRODUCT(BB8:BB62,BC8:BC62)</f>
      </c>
      <c r="BE8" s="2">
        <f>IF(AX8=0,0,((BD8+(betaPrime*(AZ23-AZ63)))-(($BQ$18*(BA8-BA23))*(D8&lt;=$BQ$4)))/AX8)</f>
      </c>
      <c r="BF8" s="4">
        <f>ROUND((BE8*100000),0)</f>
      </c>
      <c r="BG8" s="3">
        <v>0.05738945085832078</v>
      </c>
      <c r="BH8" s="2">
        <f>MAX(BE8,BG8)</f>
      </c>
      <c r="BI8" s="2">
        <f>(($BQ$19*MAX((MIN($BQ$4,7)-D8),0))/MIN($BQ$4,7))</f>
      </c>
      <c r="BJ8" s="2">
        <f>MAX((BE8-BI8),0)</f>
      </c>
      <c r="BK8" s="2">
        <f>BJ8</f>
      </c>
      <c r="BL8" s="2">
        <f>((MIN(D8,$BQ$4)*k_freq)*$BQ$14)</f>
      </c>
      <c r="BM8" s="2">
        <f>IF(BL8=0,0,BK8/BL8)</f>
      </c>
      <c r="BO8" t="inlineStr">
        <is>
          <t xml:space="preserve">α^표준 (표준이율로 같은 식을 계산한 신계약비 — 앱이 계산한 값)</t>
        </is>
      </c>
      <c r="BP8" s="3">
        <v>0.029630000000000004</v>
      </c>
      <c r="BQ8" s="3">
        <v>0.02247</v>
      </c>
    </row>
    <row r="9">
      <c r="A9" t="inlineStr">
        <is>
          <t xml:space="preserve">α_S</t>
        </is>
      </c>
      <c r="B9" s="3">
        <v>0.01</v>
      </c>
      <c r="D9" s="1">
        <v>6</v>
      </c>
      <c r="E9" s="1">
        <f>x_age+D9</f>
      </c>
      <c r="F9" s="3">
        <v>0.0017</v>
      </c>
      <c r="G9" s="3">
        <v>0.000259</v>
      </c>
      <c r="H9" s="3">
        <v>0.003196</v>
      </c>
      <c r="I9" s="3">
        <f>v_disc^(D9)</f>
      </c>
      <c r="J9" s="3">
        <f>v_disc^(D9+0.5)</f>
      </c>
      <c r="K9" s="2">
        <f>MIN(1,((F9+G9)-((F9*G9)/2)))</f>
      </c>
      <c r="L9" s="2">
        <f>(L8*(1-K8))</f>
      </c>
      <c r="M9" s="2">
        <f>(L9*I9)</f>
      </c>
      <c r="N9" s="2">
        <f>SUM(M9:M74)</f>
      </c>
      <c r="O9" s="2">
        <f>(1-((1-G9)*(1-H9)))</f>
      </c>
      <c r="P9" s="2">
        <f>MIN(1,((F9+O9)-((F9*O9)/2)))</f>
      </c>
      <c r="Q9" s="2">
        <f>(Q8*(1-P8))</f>
      </c>
      <c r="R9" s="2">
        <f>(Q9*I9)</f>
      </c>
      <c r="S9" s="2">
        <f>SUM(R9:R74)</f>
      </c>
      <c r="T9" s="2">
        <f>L9</f>
      </c>
      <c r="U9" s="2">
        <f>(L9*K9)</f>
      </c>
      <c r="V9" s="2">
        <f>M9</f>
      </c>
      <c r="W9" s="2">
        <f>R9</f>
      </c>
      <c r="X9" s="2">
        <f>N9</f>
      </c>
      <c r="Y9" s="2">
        <f>S9</f>
      </c>
      <c r="Z9" s="2">
        <f>1</f>
      </c>
      <c r="AA9" s="2">
        <f>((L9*K9)*J9)</f>
      </c>
      <c r="AB9" s="2">
        <f>SUMPRODUCT(Z9:Z73,AA9:AA73)</f>
      </c>
      <c r="AC9" s="2">
        <f>IF(V9=0,0,((AB9+(betaPrime*(X23-X74)))-(($BP$18*(Y9-Y23))*(D9&lt;=$BP$4)))/V9)</f>
      </c>
      <c r="AD9" s="4">
        <f>ROUND((AC9*100000),0)</f>
      </c>
      <c r="AE9" s="3">
        <v>0.1268007281201509</v>
      </c>
      <c r="AF9" s="2">
        <f>MAX(AC9,AE9)</f>
      </c>
      <c r="AG9" s="2">
        <f>(($BP$19*MAX((MIN($BP$4,7)-D9),0))/MIN($BP$4,7))</f>
      </c>
      <c r="AH9" s="2">
        <f>MAX((AC9-AG9),0)</f>
      </c>
      <c r="AI9" s="2">
        <f>AH9</f>
      </c>
      <c r="AJ9" s="2">
        <f>((MIN(D9,$BP$4)*k_freq)*$BP$14)</f>
      </c>
      <c r="AK9" s="2">
        <f>IF(AJ9=0,0,AI9/AJ9)</f>
      </c>
      <c r="AM9" s="2">
        <f>MIN(1,((F9+H9)-((F9*H9)/2)))</f>
      </c>
      <c r="AN9" s="2">
        <f>(AN8*(1-AM8))</f>
      </c>
      <c r="AO9" s="2">
        <f>(AN9*I9)</f>
      </c>
      <c r="AP9" s="2">
        <f>SUM(AO9:AO63)</f>
      </c>
      <c r="AQ9" s="2">
        <f>(1-((1-G9)*(1-H9)))</f>
      </c>
      <c r="AR9" s="2">
        <f>MIN(1,((F9+AQ9)-((F9*AQ9)/2)))</f>
      </c>
      <c r="AS9" s="2">
        <f>(AS8*(1-AR8))</f>
      </c>
      <c r="AT9" s="2">
        <f>(AS9*I9)</f>
      </c>
      <c r="AU9" s="2">
        <f>SUM(AT9:AT63)</f>
      </c>
      <c r="AV9" s="2">
        <f>AN9</f>
      </c>
      <c r="AW9" s="2">
        <f>(AN9*H9)</f>
      </c>
      <c r="AX9" s="2">
        <f>AO9</f>
      </c>
      <c r="AY9" s="2">
        <f>AT9</f>
      </c>
      <c r="AZ9" s="2">
        <f>AP9</f>
      </c>
      <c r="BA9" s="2">
        <f>AU9</f>
      </c>
      <c r="BB9" s="2">
        <f>(1*IF((D9=0),(1-(3/12)),1))</f>
      </c>
      <c r="BC9" s="2">
        <f>((AN9*H9)*J9)</f>
      </c>
      <c r="BD9" s="2">
        <f>SUMPRODUCT(BB9:BB62,BC9:BC62)</f>
      </c>
      <c r="BE9" s="2">
        <f>IF(AX9=0,0,((BD9+(betaPrime*(AZ23-AZ63)))-(($BQ$18*(BA9-BA23))*(D9&lt;=$BQ$4)))/AX9)</f>
      </c>
      <c r="BF9" s="4">
        <f>ROUND((BE9*100000),0)</f>
      </c>
      <c r="BG9" s="3">
        <v>0.0697534251542605</v>
      </c>
      <c r="BH9" s="2">
        <f>MAX(BE9,BG9)</f>
      </c>
      <c r="BI9" s="2">
        <f>(($BQ$19*MAX((MIN($BQ$4,7)-D9),0))/MIN($BQ$4,7))</f>
      </c>
      <c r="BJ9" s="2">
        <f>MAX((BE9-BI9),0)</f>
      </c>
      <c r="BK9" s="2">
        <f>BJ9</f>
      </c>
      <c r="BL9" s="2">
        <f>((MIN(D9,$BQ$4)*k_freq)*$BQ$14)</f>
      </c>
      <c r="BM9" s="2">
        <f>IF(BL9=0,0,BK9/BL9)</f>
      </c>
      <c r="BO9" t="inlineStr">
        <is>
          <t xml:space="preserve">N* 연납 환산 납입기수</t>
        </is>
      </c>
      <c r="BP9" s="2">
        <f>(k_freq*((Y3-Y23)-(((k_freq-1)/(2*k_freq))*(W3-W23))))</f>
      </c>
      <c r="BQ9" s="2">
        <f>(k_freq*((BA3-BA23)-(((k_freq-1)/(2*k_freq))*(AY3-AY23))))</f>
      </c>
    </row>
    <row r="10">
      <c r="A10" t="inlineStr">
        <is>
          <t xml:space="preserve">β_S</t>
        </is>
      </c>
      <c r="B10" s="3">
        <v>0.0015</v>
      </c>
      <c r="D10" s="1">
        <v>7</v>
      </c>
      <c r="E10" s="1">
        <f>x_age+D10</f>
      </c>
      <c r="F10" s="3">
        <v>0.00188</v>
      </c>
      <c r="G10" s="3">
        <v>0.000294</v>
      </c>
      <c r="H10" s="3">
        <v>0.00334</v>
      </c>
      <c r="I10" s="3">
        <f>v_disc^(D10)</f>
      </c>
      <c r="J10" s="3">
        <f>v_disc^(D10+0.5)</f>
      </c>
      <c r="K10" s="2">
        <f>MIN(1,((F10+G10)-((F10*G10)/2)))</f>
      </c>
      <c r="L10" s="2">
        <f>(L9*(1-K9))</f>
      </c>
      <c r="M10" s="2">
        <f>(L10*I10)</f>
      </c>
      <c r="N10" s="2">
        <f>SUM(M10:M74)</f>
      </c>
      <c r="O10" s="2">
        <f>(1-((1-G10)*(1-H10)))</f>
      </c>
      <c r="P10" s="2">
        <f>MIN(1,((F10+O10)-((F10*O10)/2)))</f>
      </c>
      <c r="Q10" s="2">
        <f>(Q9*(1-P9))</f>
      </c>
      <c r="R10" s="2">
        <f>(Q10*I10)</f>
      </c>
      <c r="S10" s="2">
        <f>SUM(R10:R74)</f>
      </c>
      <c r="T10" s="2">
        <f>L10</f>
      </c>
      <c r="U10" s="2">
        <f>(L10*K10)</f>
      </c>
      <c r="V10" s="2">
        <f>M10</f>
      </c>
      <c r="W10" s="2">
        <f>R10</f>
      </c>
      <c r="X10" s="2">
        <f>N10</f>
      </c>
      <c r="Y10" s="2">
        <f>S10</f>
      </c>
      <c r="Z10" s="2">
        <f>1</f>
      </c>
      <c r="AA10" s="2">
        <f>((L10*K10)*J10)</f>
      </c>
      <c r="AB10" s="2">
        <f>SUMPRODUCT(Z10:Z73,AA10:AA73)</f>
      </c>
      <c r="AC10" s="2">
        <f>IF(V10=0,0,((AB10+(betaPrime*(X23-X74)))-(($BP$18*(Y10-Y23))*(D10&lt;=$BP$4)))/V10)</f>
      </c>
      <c r="AD10" s="4">
        <f>ROUND((AC10*100000),0)</f>
      </c>
      <c r="AE10" s="3">
        <v>0.14972332027549928</v>
      </c>
      <c r="AF10" s="2">
        <f>MAX(AC10,AE10)</f>
      </c>
      <c r="AG10" s="2">
        <f>(($BP$19*MAX((MIN($BP$4,7)-D10),0))/MIN($BP$4,7))</f>
      </c>
      <c r="AH10" s="2">
        <f>MAX((AC10-AG10),0)</f>
      </c>
      <c r="AI10" s="2">
        <f>AH10</f>
      </c>
      <c r="AJ10" s="2">
        <f>((MIN(D10,$BP$4)*k_freq)*$BP$14)</f>
      </c>
      <c r="AK10" s="2">
        <f>IF(AJ10=0,0,AI10/AJ10)</f>
      </c>
      <c r="AM10" s="2">
        <f>MIN(1,((F10+H10)-((F10*H10)/2)))</f>
      </c>
      <c r="AN10" s="2">
        <f>(AN9*(1-AM9))</f>
      </c>
      <c r="AO10" s="2">
        <f>(AN10*I10)</f>
      </c>
      <c r="AP10" s="2">
        <f>SUM(AO10:AO63)</f>
      </c>
      <c r="AQ10" s="2">
        <f>(1-((1-G10)*(1-H10)))</f>
      </c>
      <c r="AR10" s="2">
        <f>MIN(1,((F10+AQ10)-((F10*AQ10)/2)))</f>
      </c>
      <c r="AS10" s="2">
        <f>(AS9*(1-AR9))</f>
      </c>
      <c r="AT10" s="2">
        <f>(AS10*I10)</f>
      </c>
      <c r="AU10" s="2">
        <f>SUM(AT10:AT63)</f>
      </c>
      <c r="AV10" s="2">
        <f>AN10</f>
      </c>
      <c r="AW10" s="2">
        <f>(AN10*H10)</f>
      </c>
      <c r="AX10" s="2">
        <f>AO10</f>
      </c>
      <c r="AY10" s="2">
        <f>AT10</f>
      </c>
      <c r="AZ10" s="2">
        <f>AP10</f>
      </c>
      <c r="BA10" s="2">
        <f>AU10</f>
      </c>
      <c r="BB10" s="2">
        <f>(1*IF((D10=0),(1-(3/12)),1))</f>
      </c>
      <c r="BC10" s="2">
        <f>((AN10*H10)*J10)</f>
      </c>
      <c r="BD10" s="2">
        <f>SUMPRODUCT(BB10:BB62,BC10:BC62)</f>
      </c>
      <c r="BE10" s="2">
        <f>IF(AX10=0,0,((BD10+(betaPrime*(AZ23-AZ63)))-(($BQ$18*(BA10-BA23))*(D10&lt;=$BQ$4)))/AX10)</f>
      </c>
      <c r="BF10" s="4">
        <f>ROUND((BE10*100000),0)</f>
      </c>
      <c r="BG10" s="3">
        <v>0.08249166975338239</v>
      </c>
      <c r="BH10" s="2">
        <f>MAX(BE10,BG10)</f>
      </c>
      <c r="BI10" s="2">
        <f>(($BQ$19*MAX((MIN($BQ$4,7)-D10),0))/MIN($BQ$4,7))</f>
      </c>
      <c r="BJ10" s="2">
        <f>MAX((BE10-BI10),0)</f>
      </c>
      <c r="BK10" s="2">
        <f>BJ10</f>
      </c>
      <c r="BL10" s="2">
        <f>((MIN(D10,$BQ$4)*k_freq)*$BQ$14)</f>
      </c>
      <c r="BM10" s="2">
        <f>IF(BL10=0,0,BK10/BL10)</f>
      </c>
      <c r="BO10" t="inlineStr">
        <is>
          <t xml:space="preserve">PVB 보험금의 현가</t>
        </is>
      </c>
      <c r="BP10" s="3">
        <f>AB3</f>
      </c>
      <c r="BQ10" s="3">
        <f>BD3</f>
      </c>
    </row>
    <row r="11">
      <c r="A11" t="inlineStr">
        <is>
          <t xml:space="preserve">β_G</t>
        </is>
      </c>
      <c r="B11" s="3">
        <v>0.045</v>
      </c>
      <c r="D11" s="1">
        <v>8</v>
      </c>
      <c r="E11" s="1">
        <f>x_age+D11</f>
      </c>
      <c r="F11" s="3">
        <v>0.00206</v>
      </c>
      <c r="G11" s="3">
        <v>0.000329</v>
      </c>
      <c r="H11" s="3">
        <v>0.003524</v>
      </c>
      <c r="I11" s="3">
        <f>v_disc^(D11)</f>
      </c>
      <c r="J11" s="3">
        <f>v_disc^(D11+0.5)</f>
      </c>
      <c r="K11" s="2">
        <f>MIN(1,((F11+G11)-((F11*G11)/2)))</f>
      </c>
      <c r="L11" s="2">
        <f>(L10*(1-K10))</f>
      </c>
      <c r="M11" s="2">
        <f>(L11*I11)</f>
      </c>
      <c r="N11" s="2">
        <f>SUM(M11:M74)</f>
      </c>
      <c r="O11" s="2">
        <f>(1-((1-G11)*(1-H11)))</f>
      </c>
      <c r="P11" s="2">
        <f>MIN(1,((F11+O11)-((F11*O11)/2)))</f>
      </c>
      <c r="Q11" s="2">
        <f>(Q10*(1-P10))</f>
      </c>
      <c r="R11" s="2">
        <f>(Q11*I11)</f>
      </c>
      <c r="S11" s="2">
        <f>SUM(R11:R74)</f>
      </c>
      <c r="T11" s="2">
        <f>L11</f>
      </c>
      <c r="U11" s="2">
        <f>(L11*K11)</f>
      </c>
      <c r="V11" s="2">
        <f>M11</f>
      </c>
      <c r="W11" s="2">
        <f>R11</f>
      </c>
      <c r="X11" s="2">
        <f>N11</f>
      </c>
      <c r="Y11" s="2">
        <f>S11</f>
      </c>
      <c r="Z11" s="2">
        <f>1</f>
      </c>
      <c r="AA11" s="2">
        <f>((L11*K11)*J11)</f>
      </c>
      <c r="AB11" s="2">
        <f>SUMPRODUCT(Z11:Z73,AA11:AA73)</f>
      </c>
      <c r="AC11" s="2">
        <f>IF(V11=0,0,((AB11+(betaPrime*(X23-X74)))-(($BP$18*(Y11-Y23))*(D11&lt;=$BP$4)))/V11)</f>
      </c>
      <c r="AD11" s="4">
        <f>ROUND((AC11*100000),0)</f>
      </c>
      <c r="AE11" s="3">
        <v>0.17319011091398492</v>
      </c>
      <c r="AF11" s="2">
        <f>MAX(AC11,AE11)</f>
      </c>
      <c r="AG11" s="2">
        <f>(($BP$19*MAX((MIN($BP$4,7)-D11),0))/MIN($BP$4,7))</f>
      </c>
      <c r="AH11" s="2">
        <f>MAX((AC11-AG11),0)</f>
      </c>
      <c r="AI11" s="2">
        <f>AH11</f>
      </c>
      <c r="AJ11" s="2">
        <f>((MIN(D11,$BP$4)*k_freq)*$BP$14)</f>
      </c>
      <c r="AK11" s="2">
        <f>IF(AJ11=0,0,AI11/AJ11)</f>
      </c>
      <c r="AM11" s="2">
        <f>MIN(1,((F11+H11)-((F11*H11)/2)))</f>
      </c>
      <c r="AN11" s="2">
        <f>(AN10*(1-AM10))</f>
      </c>
      <c r="AO11" s="2">
        <f>(AN11*I11)</f>
      </c>
      <c r="AP11" s="2">
        <f>SUM(AO11:AO63)</f>
      </c>
      <c r="AQ11" s="2">
        <f>(1-((1-G11)*(1-H11)))</f>
      </c>
      <c r="AR11" s="2">
        <f>MIN(1,((F11+AQ11)-((F11*AQ11)/2)))</f>
      </c>
      <c r="AS11" s="2">
        <f>(AS10*(1-AR10))</f>
      </c>
      <c r="AT11" s="2">
        <f>(AS11*I11)</f>
      </c>
      <c r="AU11" s="2">
        <f>SUM(AT11:AT63)</f>
      </c>
      <c r="AV11" s="2">
        <f>AN11</f>
      </c>
      <c r="AW11" s="2">
        <f>(AN11*H11)</f>
      </c>
      <c r="AX11" s="2">
        <f>AO11</f>
      </c>
      <c r="AY11" s="2">
        <f>AT11</f>
      </c>
      <c r="AZ11" s="2">
        <f>AP11</f>
      </c>
      <c r="BA11" s="2">
        <f>AU11</f>
      </c>
      <c r="BB11" s="2">
        <f>(1*IF((D11=0),(1-(3/12)),1))</f>
      </c>
      <c r="BC11" s="2">
        <f>((AN11*H11)*J11)</f>
      </c>
      <c r="BD11" s="2">
        <f>SUMPRODUCT(BB11:BB62,BC11:BC62)</f>
      </c>
      <c r="BE11" s="2">
        <f>IF(AX11=0,0,((BD11+(betaPrime*(AZ23-AZ63)))-(($BQ$18*(BA11-BA23))*(D11&lt;=$BQ$4)))/AX11)</f>
      </c>
      <c r="BF11" s="4">
        <f>ROUND((BE11*100000),0)</f>
      </c>
      <c r="BG11" s="3">
        <v>0.09558915460617778</v>
      </c>
      <c r="BH11" s="2">
        <f>MAX(BE11,BG11)</f>
      </c>
      <c r="BI11" s="2">
        <f>(($BQ$19*MAX((MIN($BQ$4,7)-D11),0))/MIN($BQ$4,7))</f>
      </c>
      <c r="BJ11" s="2">
        <f>MAX((BE11-BI11),0)</f>
      </c>
      <c r="BK11" s="2">
        <f>BJ11</f>
      </c>
      <c r="BL11" s="2">
        <f>((MIN(D11,$BQ$4)*k_freq)*$BQ$14)</f>
      </c>
      <c r="BM11" s="2">
        <f>IF(BL11=0,0,BK11/BL11)</f>
      </c>
      <c r="BO11" t="inlineStr">
        <is>
          <t xml:space="preserve">PVB′ 해지급부를 더한 현가</t>
        </is>
      </c>
      <c r="BP11" t="inlineStr">
        <is>
          <t xml:space="preserve">—</t>
        </is>
      </c>
      <c r="BQ11" t="inlineStr">
        <is>
          <t xml:space="preserve">—</t>
        </is>
      </c>
    </row>
    <row r="12">
      <c r="A12" t="inlineStr">
        <is>
          <t xml:space="preserve">β′</t>
        </is>
      </c>
      <c r="B12" s="3">
        <v>0.001</v>
      </c>
      <c r="D12" s="1">
        <v>9</v>
      </c>
      <c r="E12" s="1">
        <f>x_age+D12</f>
      </c>
      <c r="F12" s="3">
        <v>0.00225</v>
      </c>
      <c r="G12" s="3">
        <v>0.000367</v>
      </c>
      <c r="H12" s="3">
        <v>0.003741</v>
      </c>
      <c r="I12" s="3">
        <f>v_disc^(D12)</f>
      </c>
      <c r="J12" s="3">
        <f>v_disc^(D12+0.5)</f>
      </c>
      <c r="K12" s="2">
        <f>MIN(1,((F12+G12)-((F12*G12)/2)))</f>
      </c>
      <c r="L12" s="2">
        <f>(L11*(1-K11))</f>
      </c>
      <c r="M12" s="2">
        <f>(L12*I12)</f>
      </c>
      <c r="N12" s="2">
        <f>SUM(M12:M74)</f>
      </c>
      <c r="O12" s="2">
        <f>(1-((1-G12)*(1-H12)))</f>
      </c>
      <c r="P12" s="2">
        <f>MIN(1,((F12+O12)-((F12*O12)/2)))</f>
      </c>
      <c r="Q12" s="2">
        <f>(Q11*(1-P11))</f>
      </c>
      <c r="R12" s="2">
        <f>(Q12*I12)</f>
      </c>
      <c r="S12" s="2">
        <f>SUM(R12:R74)</f>
      </c>
      <c r="T12" s="2">
        <f>L12</f>
      </c>
      <c r="U12" s="2">
        <f>(L12*K12)</f>
      </c>
      <c r="V12" s="2">
        <f>M12</f>
      </c>
      <c r="W12" s="2">
        <f>R12</f>
      </c>
      <c r="X12" s="2">
        <f>N12</f>
      </c>
      <c r="Y12" s="2">
        <f>S12</f>
      </c>
      <c r="Z12" s="2">
        <f>1</f>
      </c>
      <c r="AA12" s="2">
        <f>((L12*K12)*J12)</f>
      </c>
      <c r="AB12" s="2">
        <f>SUMPRODUCT(Z12:Z73,AA12:AA73)</f>
      </c>
      <c r="AC12" s="2">
        <f>IF(V12=0,0,((AB12+(betaPrime*(X23-X74)))-(($BP$18*(Y12-Y23))*(D12&lt;=$BP$4)))/V12)</f>
      </c>
      <c r="AD12" s="4">
        <f>ROUND((AC12*100000),0)</f>
      </c>
      <c r="AE12" s="3">
        <v>0.1972275014015217</v>
      </c>
      <c r="AF12" s="2">
        <f>MAX(AC12,AE12)</f>
      </c>
      <c r="AG12" s="2">
        <f>(($BP$19*MAX((MIN($BP$4,7)-D12),0))/MIN($BP$4,7))</f>
      </c>
      <c r="AH12" s="2">
        <f>MAX((AC12-AG12),0)</f>
      </c>
      <c r="AI12" s="2">
        <f>AH12</f>
      </c>
      <c r="AJ12" s="2">
        <f>((MIN(D12,$BP$4)*k_freq)*$BP$14)</f>
      </c>
      <c r="AK12" s="2">
        <f>IF(AJ12=0,0,AI12/AJ12)</f>
      </c>
      <c r="AM12" s="2">
        <f>MIN(1,((F12+H12)-((F12*H12)/2)))</f>
      </c>
      <c r="AN12" s="2">
        <f>(AN11*(1-AM11))</f>
      </c>
      <c r="AO12" s="2">
        <f>(AN12*I12)</f>
      </c>
      <c r="AP12" s="2">
        <f>SUM(AO12:AO63)</f>
      </c>
      <c r="AQ12" s="2">
        <f>(1-((1-G12)*(1-H12)))</f>
      </c>
      <c r="AR12" s="2">
        <f>MIN(1,((F12+AQ12)-((F12*AQ12)/2)))</f>
      </c>
      <c r="AS12" s="2">
        <f>(AS11*(1-AR11))</f>
      </c>
      <c r="AT12" s="2">
        <f>(AS12*I12)</f>
      </c>
      <c r="AU12" s="2">
        <f>SUM(AT12:AT63)</f>
      </c>
      <c r="AV12" s="2">
        <f>AN12</f>
      </c>
      <c r="AW12" s="2">
        <f>(AN12*H12)</f>
      </c>
      <c r="AX12" s="2">
        <f>AO12</f>
      </c>
      <c r="AY12" s="2">
        <f>AT12</f>
      </c>
      <c r="AZ12" s="2">
        <f>AP12</f>
      </c>
      <c r="BA12" s="2">
        <f>AU12</f>
      </c>
      <c r="BB12" s="2">
        <f>(1*IF((D12=0),(1-(3/12)),1))</f>
      </c>
      <c r="BC12" s="2">
        <f>((AN12*H12)*J12)</f>
      </c>
      <c r="BD12" s="2">
        <f>SUMPRODUCT(BB12:BB62,BC12:BC62)</f>
      </c>
      <c r="BE12" s="2">
        <f>IF(AX12=0,0,((BD12+(betaPrime*(AZ23-AZ63)))-(($BQ$18*(BA12-BA23))*(D12&lt;=$BQ$4)))/AX12)</f>
      </c>
      <c r="BF12" s="4">
        <f>ROUND((BE12*100000),0)</f>
      </c>
      <c r="BG12" s="3">
        <v>0.10903118339409475</v>
      </c>
      <c r="BH12" s="2">
        <f>MAX(BE12,BG12)</f>
      </c>
      <c r="BI12" s="2">
        <f>(($BQ$19*MAX((MIN($BQ$4,7)-D12),0))/MIN($BQ$4,7))</f>
      </c>
      <c r="BJ12" s="2">
        <f>MAX((BE12-BI12),0)</f>
      </c>
      <c r="BK12" s="2">
        <f>BJ12</f>
      </c>
      <c r="BL12" s="2">
        <f>((MIN(D12,$BQ$4)*k_freq)*$BQ$14)</f>
      </c>
      <c r="BM12" s="2">
        <f>IF(BL12=0,0,BK12/BL12)</f>
      </c>
      <c r="BO12" t="inlineStr">
        <is>
          <t xml:space="preserve">P 순보험료 (1원당)</t>
        </is>
      </c>
      <c r="BP12" s="3">
        <f>($BP$10/$BP$9)</f>
      </c>
      <c r="BQ12" s="3">
        <f>($BQ$10/$BQ$9)</f>
      </c>
    </row>
    <row r="13">
      <c r="A13" t="inlineStr">
        <is>
          <t xml:space="preserve">γ</t>
        </is>
      </c>
      <c r="B13" s="3">
        <v>0.025</v>
      </c>
      <c r="D13" s="1">
        <v>10</v>
      </c>
      <c r="E13" s="1">
        <f>x_age+D13</f>
      </c>
      <c r="F13" s="3">
        <v>0.00244</v>
      </c>
      <c r="G13" s="3">
        <v>0.00026</v>
      </c>
      <c r="H13" s="3">
        <v>0.003988</v>
      </c>
      <c r="I13" s="3">
        <f>v_disc^(D13)</f>
      </c>
      <c r="J13" s="3">
        <f>v_disc^(D13+0.5)</f>
      </c>
      <c r="K13" s="2">
        <f>MIN(1,((F13+G13)-((F13*G13)/2)))</f>
      </c>
      <c r="L13" s="2">
        <f>(L12*(1-K12))</f>
      </c>
      <c r="M13" s="2">
        <f>(L13*I13)</f>
      </c>
      <c r="N13" s="2">
        <f>SUM(M13:M74)</f>
      </c>
      <c r="O13" s="2">
        <f>(1-((1-G13)*(1-H13)))</f>
      </c>
      <c r="P13" s="2">
        <f>MIN(1,((F13+O13)-((F13*O13)/2)))</f>
      </c>
      <c r="Q13" s="2">
        <f>(Q12*(1-P12))</f>
      </c>
      <c r="R13" s="2">
        <f>(Q13*I13)</f>
      </c>
      <c r="S13" s="2">
        <f>SUM(R13:R74)</f>
      </c>
      <c r="T13" s="2">
        <f>L13</f>
      </c>
      <c r="U13" s="2">
        <f>(L13*K13)</f>
      </c>
      <c r="V13" s="2">
        <f>M13</f>
      </c>
      <c r="W13" s="2">
        <f>R13</f>
      </c>
      <c r="X13" s="2">
        <f>N13</f>
      </c>
      <c r="Y13" s="2">
        <f>S13</f>
      </c>
      <c r="Z13" s="2">
        <f>1</f>
      </c>
      <c r="AA13" s="2">
        <f>((L13*K13)*J13)</f>
      </c>
      <c r="AB13" s="2">
        <f>SUMPRODUCT(Z13:Z73,AA13:AA73)</f>
      </c>
      <c r="AC13" s="2">
        <f>IF(V13=0,0,((AB13+(betaPrime*(X23-X74)))-(($BP$18*(Y13-Y23))*(D13&lt;=$BP$4)))/V13)</f>
      </c>
      <c r="AD13" s="4">
        <f>ROUND((AC13*100000),0)</f>
      </c>
      <c r="AE13" s="3">
        <v>0.22185205292007554</v>
      </c>
      <c r="AF13" s="2">
        <f>MAX(AC13,AE13)</f>
      </c>
      <c r="AG13" s="2">
        <f>(($BP$19*MAX((MIN($BP$4,7)-D13),0))/MIN($BP$4,7))</f>
      </c>
      <c r="AH13" s="2">
        <f>MAX((AC13-AG13),0)</f>
      </c>
      <c r="AI13" s="2">
        <f>AH13</f>
      </c>
      <c r="AJ13" s="2">
        <f>((MIN(D13,$BP$4)*k_freq)*$BP$14)</f>
      </c>
      <c r="AK13" s="2">
        <f>IF(AJ13=0,0,AI13/AJ13)</f>
      </c>
      <c r="AM13" s="2">
        <f>MIN(1,((F13+H13)-((F13*H13)/2)))</f>
      </c>
      <c r="AN13" s="2">
        <f>(AN12*(1-AM12))</f>
      </c>
      <c r="AO13" s="2">
        <f>(AN13*I13)</f>
      </c>
      <c r="AP13" s="2">
        <f>SUM(AO13:AO63)</f>
      </c>
      <c r="AQ13" s="2">
        <f>(1-((1-G13)*(1-H13)))</f>
      </c>
      <c r="AR13" s="2">
        <f>MIN(1,((F13+AQ13)-((F13*AQ13)/2)))</f>
      </c>
      <c r="AS13" s="2">
        <f>(AS12*(1-AR12))</f>
      </c>
      <c r="AT13" s="2">
        <f>(AS13*I13)</f>
      </c>
      <c r="AU13" s="2">
        <f>SUM(AT13:AT63)</f>
      </c>
      <c r="AV13" s="2">
        <f>AN13</f>
      </c>
      <c r="AW13" s="2">
        <f>(AN13*H13)</f>
      </c>
      <c r="AX13" s="2">
        <f>AO13</f>
      </c>
      <c r="AY13" s="2">
        <f>AT13</f>
      </c>
      <c r="AZ13" s="2">
        <f>AP13</f>
      </c>
      <c r="BA13" s="2">
        <f>AU13</f>
      </c>
      <c r="BB13" s="2">
        <f>(1*IF((D13=0),(1-(3/12)),1))</f>
      </c>
      <c r="BC13" s="2">
        <f>((AN13*H13)*J13)</f>
      </c>
      <c r="BD13" s="2">
        <f>SUMPRODUCT(BB13:BB62,BC13:BC62)</f>
      </c>
      <c r="BE13" s="2">
        <f>IF(AX13=0,0,((BD13+(betaPrime*(AZ23-AZ63)))-(($BQ$18*(BA13-BA23))*(D13&lt;=$BQ$4)))/AX13)</f>
      </c>
      <c r="BF13" s="4">
        <f>ROUND((BE13*100000),0)</f>
      </c>
      <c r="BG13" s="3">
        <v>0.12281201279966404</v>
      </c>
      <c r="BH13" s="2">
        <f>MAX(BE13,BG13)</f>
      </c>
      <c r="BI13" s="2">
        <f>(($BQ$19*MAX((MIN($BQ$4,7)-D13),0))/MIN($BQ$4,7))</f>
      </c>
      <c r="BJ13" s="2">
        <f>MAX((BE13-BI13),0)</f>
      </c>
      <c r="BK13" s="2">
        <f>BJ13</f>
      </c>
      <c r="BL13" s="2">
        <f>((MIN(D13,$BQ$4)*k_freq)*$BQ$14)</f>
      </c>
      <c r="BM13" s="2">
        <f>IF(BL13=0,0,BK13/BL13)</f>
      </c>
      <c r="BO13" t="inlineStr">
        <is>
          <t xml:space="preserve">P_base 기준연납순보험료</t>
        </is>
      </c>
      <c r="BP13" s="3">
        <f>($BP$10/(Y3-Y23))</f>
      </c>
      <c r="BQ13" s="3">
        <f>($BQ$10/(BA3-BA23))</f>
      </c>
    </row>
    <row r="14">
      <c r="A14" t="inlineStr">
        <is>
          <t xml:space="preserve">ρ 납입기간 중 해지환급금 비율 (저해지 — 표준형 0)</t>
        </is>
      </c>
      <c r="B14" s="2">
        <v>0</v>
      </c>
      <c r="D14" s="1">
        <v>11</v>
      </c>
      <c r="E14" s="1">
        <f>x_age+D14</f>
      </c>
      <c r="F14" s="3">
        <v>0.00265</v>
      </c>
      <c r="G14" s="3">
        <v>0.000281</v>
      </c>
      <c r="H14" s="3">
        <v>0.004268</v>
      </c>
      <c r="I14" s="3">
        <f>v_disc^(D14)</f>
      </c>
      <c r="J14" s="3">
        <f>v_disc^(D14+0.5)</f>
      </c>
      <c r="K14" s="2">
        <f>MIN(1,((F14+G14)-((F14*G14)/2)))</f>
      </c>
      <c r="L14" s="2">
        <f>(L13*(1-K13))</f>
      </c>
      <c r="M14" s="2">
        <f>(L14*I14)</f>
      </c>
      <c r="N14" s="2">
        <f>SUM(M14:M74)</f>
      </c>
      <c r="O14" s="2">
        <f>(1-((1-G14)*(1-H14)))</f>
      </c>
      <c r="P14" s="2">
        <f>MIN(1,((F14+O14)-((F14*O14)/2)))</f>
      </c>
      <c r="Q14" s="2">
        <f>(Q13*(1-P13))</f>
      </c>
      <c r="R14" s="2">
        <f>(Q14*I14)</f>
      </c>
      <c r="S14" s="2">
        <f>SUM(R14:R74)</f>
      </c>
      <c r="T14" s="2">
        <f>L14</f>
      </c>
      <c r="U14" s="2">
        <f>(L14*K14)</f>
      </c>
      <c r="V14" s="2">
        <f>M14</f>
      </c>
      <c r="W14" s="2">
        <f>R14</f>
      </c>
      <c r="X14" s="2">
        <f>N14</f>
      </c>
      <c r="Y14" s="2">
        <f>S14</f>
      </c>
      <c r="Z14" s="2">
        <f>1</f>
      </c>
      <c r="AA14" s="2">
        <f>((L14*K14)*J14)</f>
      </c>
      <c r="AB14" s="2">
        <f>SUMPRODUCT(Z14:Z73,AA14:AA73)</f>
      </c>
      <c r="AC14" s="2">
        <f>IF(V14=0,0,((AB14+(betaPrime*(X23-X74)))-(($BP$18*(Y14-Y23))*(D14&lt;=$BP$4)))/V14)</f>
      </c>
      <c r="AD14" s="4">
        <f>ROUND((AC14*100000),0)</f>
      </c>
      <c r="AE14" s="3">
        <v>0.24720334108494918</v>
      </c>
      <c r="AF14" s="2">
        <f>MAX(AC14,AE14)</f>
      </c>
      <c r="AG14" s="2">
        <f>(($BP$19*MAX((MIN($BP$4,7)-D14),0))/MIN($BP$4,7))</f>
      </c>
      <c r="AH14" s="2">
        <f>MAX((AC14-AG14),0)</f>
      </c>
      <c r="AI14" s="2">
        <f>AH14</f>
      </c>
      <c r="AJ14" s="2">
        <f>((MIN(D14,$BP$4)*k_freq)*$BP$14)</f>
      </c>
      <c r="AK14" s="2">
        <f>IF(AJ14=0,0,AI14/AJ14)</f>
      </c>
      <c r="AM14" s="2">
        <f>MIN(1,((F14+H14)-((F14*H14)/2)))</f>
      </c>
      <c r="AN14" s="2">
        <f>(AN13*(1-AM13))</f>
      </c>
      <c r="AO14" s="2">
        <f>(AN14*I14)</f>
      </c>
      <c r="AP14" s="2">
        <f>SUM(AO14:AO63)</f>
      </c>
      <c r="AQ14" s="2">
        <f>(1-((1-G14)*(1-H14)))</f>
      </c>
      <c r="AR14" s="2">
        <f>MIN(1,((F14+AQ14)-((F14*AQ14)/2)))</f>
      </c>
      <c r="AS14" s="2">
        <f>(AS13*(1-AR13))</f>
      </c>
      <c r="AT14" s="2">
        <f>(AS14*I14)</f>
      </c>
      <c r="AU14" s="2">
        <f>SUM(AT14:AT63)</f>
      </c>
      <c r="AV14" s="2">
        <f>AN14</f>
      </c>
      <c r="AW14" s="2">
        <f>(AN14*H14)</f>
      </c>
      <c r="AX14" s="2">
        <f>AO14</f>
      </c>
      <c r="AY14" s="2">
        <f>AT14</f>
      </c>
      <c r="AZ14" s="2">
        <f>AP14</f>
      </c>
      <c r="BA14" s="2">
        <f>AU14</f>
      </c>
      <c r="BB14" s="2">
        <f>(1*IF((D14=0),(1-(3/12)),1))</f>
      </c>
      <c r="BC14" s="2">
        <f>((AN14*H14)*J14)</f>
      </c>
      <c r="BD14" s="2">
        <f>SUMPRODUCT(BB14:BB62,BC14:BC62)</f>
      </c>
      <c r="BE14" s="2">
        <f>IF(AX14=0,0,((BD14+(betaPrime*(AZ23-AZ63)))-(($BQ$18*(BA14-BA23))*(D14&lt;=$BQ$4)))/AX14)</f>
      </c>
      <c r="BF14" s="4">
        <f>ROUND((BE14*100000),0)</f>
      </c>
      <c r="BG14" s="3">
        <v>0.13692911387584933</v>
      </c>
      <c r="BH14" s="2">
        <f>MAX(BE14,BG14)</f>
      </c>
      <c r="BI14" s="2">
        <f>(($BQ$19*MAX((MIN($BQ$4,7)-D14),0))/MIN($BQ$4,7))</f>
      </c>
      <c r="BJ14" s="2">
        <f>MAX((BE14-BI14),0)</f>
      </c>
      <c r="BK14" s="2">
        <f>BJ14</f>
      </c>
      <c r="BL14" s="2">
        <f>((MIN(D14,$BQ$4)*k_freq)*$BQ$14)</f>
      </c>
      <c r="BM14" s="2">
        <f>IF(BL14=0,0,BK14/BL14)</f>
      </c>
      <c r="BO14" t="inlineStr">
        <is>
          <t xml:space="preserve">G 영업보험료 (1원당)</t>
        </is>
      </c>
      <c r="BP14" s="3">
        <f>(((($BP$12+(((alphaS+($BP$7*$BP$13))*W3)/$BP$9))+(betaS/k_freq))+((betaPrime*(X23-X74))/$BP$9))/((1-betaG)-gamma))</f>
      </c>
      <c r="BQ14" s="3">
        <f>(((($BQ$12+(((alphaS+($BQ$7*$BQ$13))*AY3)/$BQ$9))+(betaS/k_freq))+((betaPrime*(AZ23-AZ63))/$BQ$9))/((1-betaG)-gamma))</f>
      </c>
    </row>
    <row r="15">
      <c r="D15" s="1">
        <v>12</v>
      </c>
      <c r="E15" s="1">
        <f>x_age+D15</f>
      </c>
      <c r="F15" s="3">
        <v>0.0029</v>
      </c>
      <c r="G15" s="3">
        <v>0.000302</v>
      </c>
      <c r="H15" s="3">
        <v>0.004591</v>
      </c>
      <c r="I15" s="3">
        <f>v_disc^(D15)</f>
      </c>
      <c r="J15" s="3">
        <f>v_disc^(D15+0.5)</f>
      </c>
      <c r="K15" s="2">
        <f>MIN(1,((F15+G15)-((F15*G15)/2)))</f>
      </c>
      <c r="L15" s="2">
        <f>(L14*(1-K14))</f>
      </c>
      <c r="M15" s="2">
        <f>(L15*I15)</f>
      </c>
      <c r="N15" s="2">
        <f>SUM(M15:M74)</f>
      </c>
      <c r="O15" s="2">
        <f>(1-((1-G15)*(1-H15)))</f>
      </c>
      <c r="P15" s="2">
        <f>MIN(1,((F15+O15)-((F15*O15)/2)))</f>
      </c>
      <c r="Q15" s="2">
        <f>(Q14*(1-P14))</f>
      </c>
      <c r="R15" s="2">
        <f>(Q15*I15)</f>
      </c>
      <c r="S15" s="2">
        <f>SUM(R15:R74)</f>
      </c>
      <c r="T15" s="2">
        <f>L15</f>
      </c>
      <c r="U15" s="2">
        <f>(L15*K15)</f>
      </c>
      <c r="V15" s="2">
        <f>M15</f>
      </c>
      <c r="W15" s="2">
        <f>R15</f>
      </c>
      <c r="X15" s="2">
        <f>N15</f>
      </c>
      <c r="Y15" s="2">
        <f>S15</f>
      </c>
      <c r="Z15" s="2">
        <f>1</f>
      </c>
      <c r="AA15" s="2">
        <f>((L15*K15)*J15)</f>
      </c>
      <c r="AB15" s="2">
        <f>SUMPRODUCT(Z15:Z73,AA15:AA73)</f>
      </c>
      <c r="AC15" s="2">
        <f>IF(V15=0,0,((AB15+(betaPrime*(X23-X74)))-(($BP$18*(Y15-Y23))*(D15&lt;=$BP$4)))/V15)</f>
      </c>
      <c r="AD15" s="4">
        <f>ROUND((AC15*100000),0)</f>
      </c>
      <c r="AE15" s="3">
        <v>0.2731964210397968</v>
      </c>
      <c r="AF15" s="2">
        <f>MAX(AC15,AE15)</f>
      </c>
      <c r="AG15" s="2">
        <f>(($BP$19*MAX((MIN($BP$4,7)-D15),0))/MIN($BP$4,7))</f>
      </c>
      <c r="AH15" s="2">
        <f>MAX((AC15-AG15),0)</f>
      </c>
      <c r="AI15" s="2">
        <f>AH15</f>
      </c>
      <c r="AJ15" s="2">
        <f>((MIN(D15,$BP$4)*k_freq)*$BP$14)</f>
      </c>
      <c r="AK15" s="2">
        <f>IF(AJ15=0,0,AI15/AJ15)</f>
      </c>
      <c r="AM15" s="2">
        <f>MIN(1,((F15+H15)-((F15*H15)/2)))</f>
      </c>
      <c r="AN15" s="2">
        <f>(AN14*(1-AM14))</f>
      </c>
      <c r="AO15" s="2">
        <f>(AN15*I15)</f>
      </c>
      <c r="AP15" s="2">
        <f>SUM(AO15:AO63)</f>
      </c>
      <c r="AQ15" s="2">
        <f>(1-((1-G15)*(1-H15)))</f>
      </c>
      <c r="AR15" s="2">
        <f>MIN(1,((F15+AQ15)-((F15*AQ15)/2)))</f>
      </c>
      <c r="AS15" s="2">
        <f>(AS14*(1-AR14))</f>
      </c>
      <c r="AT15" s="2">
        <f>(AS15*I15)</f>
      </c>
      <c r="AU15" s="2">
        <f>SUM(AT15:AT63)</f>
      </c>
      <c r="AV15" s="2">
        <f>AN15</f>
      </c>
      <c r="AW15" s="2">
        <f>(AN15*H15)</f>
      </c>
      <c r="AX15" s="2">
        <f>AO15</f>
      </c>
      <c r="AY15" s="2">
        <f>AT15</f>
      </c>
      <c r="AZ15" s="2">
        <f>AP15</f>
      </c>
      <c r="BA15" s="2">
        <f>AU15</f>
      </c>
      <c r="BB15" s="2">
        <f>(1*IF((D15=0),(1-(3/12)),1))</f>
      </c>
      <c r="BC15" s="2">
        <f>((AN15*H15)*J15)</f>
      </c>
      <c r="BD15" s="2">
        <f>SUMPRODUCT(BB15:BB62,BC15:BC62)</f>
      </c>
      <c r="BE15" s="2">
        <f>IF(AX15=0,0,((BD15+(betaPrime*(AZ23-AZ63)))-(($BQ$18*(BA15-BA23))*(D15&lt;=$BQ$4)))/AX15)</f>
      </c>
      <c r="BF15" s="4">
        <f>ROUND((BE15*100000),0)</f>
      </c>
      <c r="BG15" s="3">
        <v>0.15138394920036136</v>
      </c>
      <c r="BH15" s="2">
        <f>MAX(BE15,BG15)</f>
      </c>
      <c r="BI15" s="2">
        <f>(($BQ$19*MAX((MIN($BQ$4,7)-D15),0))/MIN($BQ$4,7))</f>
      </c>
      <c r="BJ15" s="2">
        <f>MAX((BE15-BI15),0)</f>
      </c>
      <c r="BK15" s="2">
        <f>BJ15</f>
      </c>
      <c r="BL15" s="2">
        <f>((MIN(D15,$BQ$4)*k_freq)*$BQ$14)</f>
      </c>
      <c r="BM15" s="2">
        <f>IF(BL15=0,0,BK15/BL15)</f>
      </c>
      <c r="BO15" t="inlineStr">
        <is>
          <t xml:space="preserve">G₁ 1원당 보험료 (소수 6자리)</t>
        </is>
      </c>
      <c r="BP15" s="3">
        <f>ROUND($BP$14,6)</f>
      </c>
      <c r="BQ15" s="3">
        <f>ROUND($BQ$14,6)</f>
      </c>
    </row>
    <row r="16">
      <c r="A16" t="inlineStr">
        <is>
          <t xml:space="preserve">값은 계약·기초율과 위험률뿐 — 현가율부터는 모두 수식입니다. 담보마다 다른 값(기간·배수)은 맨 오른쪽 결과 칸에 있습니다.</t>
        </is>
      </c>
      <c r="D16" s="1">
        <v>13</v>
      </c>
      <c r="E16" s="1">
        <f>x_age+D16</f>
      </c>
      <c r="F16" s="3">
        <v>0.00317</v>
      </c>
      <c r="G16" s="3">
        <v>0.000323</v>
      </c>
      <c r="H16" s="3">
        <v>0.004955</v>
      </c>
      <c r="I16" s="3">
        <f>v_disc^(D16)</f>
      </c>
      <c r="J16" s="3">
        <f>v_disc^(D16+0.5)</f>
      </c>
      <c r="K16" s="2">
        <f>MIN(1,((F16+G16)-((F16*G16)/2)))</f>
      </c>
      <c r="L16" s="2">
        <f>(L15*(1-K15))</f>
      </c>
      <c r="M16" s="2">
        <f>(L16*I16)</f>
      </c>
      <c r="N16" s="2">
        <f>SUM(M16:M74)</f>
      </c>
      <c r="O16" s="2">
        <f>(1-((1-G16)*(1-H16)))</f>
      </c>
      <c r="P16" s="2">
        <f>MIN(1,((F16+O16)-((F16*O16)/2)))</f>
      </c>
      <c r="Q16" s="2">
        <f>(Q15*(1-P15))</f>
      </c>
      <c r="R16" s="2">
        <f>(Q16*I16)</f>
      </c>
      <c r="S16" s="2">
        <f>SUM(R16:R74)</f>
      </c>
      <c r="T16" s="2">
        <f>L16</f>
      </c>
      <c r="U16" s="2">
        <f>(L16*K16)</f>
      </c>
      <c r="V16" s="2">
        <f>M16</f>
      </c>
      <c r="W16" s="2">
        <f>R16</f>
      </c>
      <c r="X16" s="2">
        <f>N16</f>
      </c>
      <c r="Y16" s="2">
        <f>S16</f>
      </c>
      <c r="Z16" s="2">
        <f>1</f>
      </c>
      <c r="AA16" s="2">
        <f>((L16*K16)*J16)</f>
      </c>
      <c r="AB16" s="2">
        <f>SUMPRODUCT(Z16:Z73,AA16:AA73)</f>
      </c>
      <c r="AC16" s="2">
        <f>IF(V16=0,0,((AB16+(betaPrime*(X23-X74)))-(($BP$18*(Y16-Y23))*(D16&lt;=$BP$4)))/V16)</f>
      </c>
      <c r="AD16" s="4">
        <f>ROUND((AC16*100000),0)</f>
      </c>
      <c r="AE16" s="3">
        <v>0.2998322131179686</v>
      </c>
      <c r="AF16" s="2">
        <f>MAX(AC16,AE16)</f>
      </c>
      <c r="AG16" s="2">
        <f>(($BP$19*MAX((MIN($BP$4,7)-D16),0))/MIN($BP$4,7))</f>
      </c>
      <c r="AH16" s="2">
        <f>MAX((AC16-AG16),0)</f>
      </c>
      <c r="AI16" s="2">
        <f>AH16</f>
      </c>
      <c r="AJ16" s="2">
        <f>((MIN(D16,$BP$4)*k_freq)*$BP$14)</f>
      </c>
      <c r="AK16" s="2">
        <f>IF(AJ16=0,0,AI16/AJ16)</f>
      </c>
      <c r="AM16" s="2">
        <f>MIN(1,((F16+H16)-((F16*H16)/2)))</f>
      </c>
      <c r="AN16" s="2">
        <f>(AN15*(1-AM15))</f>
      </c>
      <c r="AO16" s="2">
        <f>(AN16*I16)</f>
      </c>
      <c r="AP16" s="2">
        <f>SUM(AO16:AO63)</f>
      </c>
      <c r="AQ16" s="2">
        <f>(1-((1-G16)*(1-H16)))</f>
      </c>
      <c r="AR16" s="2">
        <f>MIN(1,((F16+AQ16)-((F16*AQ16)/2)))</f>
      </c>
      <c r="AS16" s="2">
        <f>(AS15*(1-AR15))</f>
      </c>
      <c r="AT16" s="2">
        <f>(AS16*I16)</f>
      </c>
      <c r="AU16" s="2">
        <f>SUM(AT16:AT63)</f>
      </c>
      <c r="AV16" s="2">
        <f>AN16</f>
      </c>
      <c r="AW16" s="2">
        <f>(AN16*H16)</f>
      </c>
      <c r="AX16" s="2">
        <f>AO16</f>
      </c>
      <c r="AY16" s="2">
        <f>AT16</f>
      </c>
      <c r="AZ16" s="2">
        <f>AP16</f>
      </c>
      <c r="BA16" s="2">
        <f>AU16</f>
      </c>
      <c r="BB16" s="2">
        <f>(1*IF((D16=0),(1-(3/12)),1))</f>
      </c>
      <c r="BC16" s="2">
        <f>((AN16*H16)*J16)</f>
      </c>
      <c r="BD16" s="2">
        <f>SUMPRODUCT(BB16:BB62,BC16:BC62)</f>
      </c>
      <c r="BE16" s="2">
        <f>IF(AX16=0,0,((BD16+(betaPrime*(AZ23-AZ63)))-(($BQ$18*(BA16-BA23))*(D16&lt;=$BQ$4)))/AX16)</f>
      </c>
      <c r="BF16" s="4">
        <f>ROUND((BE16*100000),0)</f>
      </c>
      <c r="BG16" s="3">
        <v>0.1661739034342706</v>
      </c>
      <c r="BH16" s="2">
        <f>MAX(BE16,BG16)</f>
      </c>
      <c r="BI16" s="2">
        <f>(($BQ$19*MAX((MIN($BQ$4,7)-D16),0))/MIN($BQ$4,7))</f>
      </c>
      <c r="BJ16" s="2">
        <f>MAX((BE16-BI16),0)</f>
      </c>
      <c r="BK16" s="2">
        <f>BJ16</f>
      </c>
      <c r="BL16" s="2">
        <f>((MIN(D16,$BQ$4)*k_freq)*$BQ$14)</f>
      </c>
      <c r="BM16" s="2">
        <f>IF(BL16=0,0,BK16/BL16)</f>
      </c>
      <c r="BO16" t="inlineStr">
        <is>
          <t xml:space="preserve">10만원당 보험료 (원)</t>
        </is>
      </c>
      <c r="BP16" s="4">
        <f>ROUND(($BP$15*100000),0)</f>
      </c>
      <c r="BQ16" s="4">
        <f>ROUND(($BQ$15*100000),0)</f>
      </c>
      <c r="BR16" s="4">
        <f>SUM(BP16:BQ16)</f>
      </c>
    </row>
    <row r="17">
      <c r="D17" s="1">
        <v>14</v>
      </c>
      <c r="E17" s="1">
        <f>x_age+D17</f>
      </c>
      <c r="F17" s="3">
        <v>0.00348</v>
      </c>
      <c r="G17" s="3">
        <v>0.000342</v>
      </c>
      <c r="H17" s="3">
        <v>0.005359</v>
      </c>
      <c r="I17" s="3">
        <f>v_disc^(D17)</f>
      </c>
      <c r="J17" s="3">
        <f>v_disc^(D17+0.5)</f>
      </c>
      <c r="K17" s="2">
        <f>MIN(1,((F17+G17)-((F17*G17)/2)))</f>
      </c>
      <c r="L17" s="2">
        <f>(L16*(1-K16))</f>
      </c>
      <c r="M17" s="2">
        <f>(L17*I17)</f>
      </c>
      <c r="N17" s="2">
        <f>SUM(M17:M74)</f>
      </c>
      <c r="O17" s="2">
        <f>(1-((1-G17)*(1-H17)))</f>
      </c>
      <c r="P17" s="2">
        <f>MIN(1,((F17+O17)-((F17*O17)/2)))</f>
      </c>
      <c r="Q17" s="2">
        <f>(Q16*(1-P16))</f>
      </c>
      <c r="R17" s="2">
        <f>(Q17*I17)</f>
      </c>
      <c r="S17" s="2">
        <f>SUM(R17:R74)</f>
      </c>
      <c r="T17" s="2">
        <f>L17</f>
      </c>
      <c r="U17" s="2">
        <f>(L17*K17)</f>
      </c>
      <c r="V17" s="2">
        <f>M17</f>
      </c>
      <c r="W17" s="2">
        <f>R17</f>
      </c>
      <c r="X17" s="2">
        <f>N17</f>
      </c>
      <c r="Y17" s="2">
        <f>S17</f>
      </c>
      <c r="Z17" s="2">
        <f>1</f>
      </c>
      <c r="AA17" s="2">
        <f>((L17*K17)*J17)</f>
      </c>
      <c r="AB17" s="2">
        <f>SUMPRODUCT(Z17:Z73,AA17:AA73)</f>
      </c>
      <c r="AC17" s="2">
        <f>IF(V17=0,0,((AB17+(betaPrime*(X23-X74)))-(($BP$18*(Y17-Y23))*(D17&lt;=$BP$4)))/V17)</f>
      </c>
      <c r="AD17" s="4">
        <f>ROUND((AC17*100000),0)</f>
      </c>
      <c r="AE17" s="3">
        <v>0.32712842929212244</v>
      </c>
      <c r="AF17" s="2">
        <f>MAX(AC17,AE17)</f>
      </c>
      <c r="AG17" s="2">
        <f>(($BP$19*MAX((MIN($BP$4,7)-D17),0))/MIN($BP$4,7))</f>
      </c>
      <c r="AH17" s="2">
        <f>MAX((AC17-AG17),0)</f>
      </c>
      <c r="AI17" s="2">
        <f>AH17</f>
      </c>
      <c r="AJ17" s="2">
        <f>((MIN(D17,$BP$4)*k_freq)*$BP$14)</f>
      </c>
      <c r="AK17" s="2">
        <f>IF(AJ17=0,0,AI17/AJ17)</f>
      </c>
      <c r="AM17" s="2">
        <f>MIN(1,((F17+H17)-((F17*H17)/2)))</f>
      </c>
      <c r="AN17" s="2">
        <f>(AN16*(1-AM16))</f>
      </c>
      <c r="AO17" s="2">
        <f>(AN17*I17)</f>
      </c>
      <c r="AP17" s="2">
        <f>SUM(AO17:AO63)</f>
      </c>
      <c r="AQ17" s="2">
        <f>(1-((1-G17)*(1-H17)))</f>
      </c>
      <c r="AR17" s="2">
        <f>MIN(1,((F17+AQ17)-((F17*AQ17)/2)))</f>
      </c>
      <c r="AS17" s="2">
        <f>(AS16*(1-AR16))</f>
      </c>
      <c r="AT17" s="2">
        <f>(AS17*I17)</f>
      </c>
      <c r="AU17" s="2">
        <f>SUM(AT17:AT63)</f>
      </c>
      <c r="AV17" s="2">
        <f>AN17</f>
      </c>
      <c r="AW17" s="2">
        <f>(AN17*H17)</f>
      </c>
      <c r="AX17" s="2">
        <f>AO17</f>
      </c>
      <c r="AY17" s="2">
        <f>AT17</f>
      </c>
      <c r="AZ17" s="2">
        <f>AP17</f>
      </c>
      <c r="BA17" s="2">
        <f>AU17</f>
      </c>
      <c r="BB17" s="2">
        <f>(1*IF((D17=0),(1-(3/12)),1))</f>
      </c>
      <c r="BC17" s="2">
        <f>((AN17*H17)*J17)</f>
      </c>
      <c r="BD17" s="2">
        <f>SUMPRODUCT(BB17:BB62,BC17:BC62)</f>
      </c>
      <c r="BE17" s="2">
        <f>IF(AX17=0,0,((BD17+(betaPrime*(AZ23-AZ63)))-(($BQ$18*(BA17-BA23))*(D17&lt;=$BQ$4)))/AX17)</f>
      </c>
      <c r="BF17" s="4">
        <f>ROUND((BE17*100000),0)</f>
      </c>
      <c r="BG17" s="3">
        <v>0.1812985681507433</v>
      </c>
      <c r="BH17" s="2">
        <f>MAX(BE17,BG17)</f>
      </c>
      <c r="BI17" s="2">
        <f>(($BQ$19*MAX((MIN($BQ$4,7)-D17),0))/MIN($BQ$4,7))</f>
      </c>
      <c r="BJ17" s="2">
        <f>MAX((BE17-BI17),0)</f>
      </c>
      <c r="BK17" s="2">
        <f>BJ17</f>
      </c>
      <c r="BL17" s="2">
        <f>((MIN(D17,$BQ$4)*k_freq)*$BQ$14)</f>
      </c>
      <c r="BM17" s="2">
        <f>IF(BL17=0,0,BK17/BL17)</f>
      </c>
      <c r="BO17" t="inlineStr">
        <is>
          <t xml:space="preserve">담보 보험료 (원) = 10만원당 × 보장금액/10만, 10원 미만 버림</t>
        </is>
      </c>
      <c r="BP17" s="4">
        <f>ROUNDDOWN($BP$16*$BP$6/100000,-1)</f>
      </c>
      <c r="BQ17" s="4">
        <f>ROUNDDOWN($BQ$16*$BQ$6/100000,-1)</f>
      </c>
      <c r="BR17" s="4">
        <f>SUM(BP17:BQ17)</f>
      </c>
    </row>
    <row r="18">
      <c r="D18" s="1">
        <v>15</v>
      </c>
      <c r="E18" s="1">
        <f>x_age+D18</f>
      </c>
      <c r="F18" s="3">
        <v>0.00381</v>
      </c>
      <c r="G18" s="3">
        <v>0.000359</v>
      </c>
      <c r="H18" s="3">
        <v>0.005801</v>
      </c>
      <c r="I18" s="3">
        <f>v_disc^(D18)</f>
      </c>
      <c r="J18" s="3">
        <f>v_disc^(D18+0.5)</f>
      </c>
      <c r="K18" s="2">
        <f>MIN(1,((F18+G18)-((F18*G18)/2)))</f>
      </c>
      <c r="L18" s="2">
        <f>(L17*(1-K17))</f>
      </c>
      <c r="M18" s="2">
        <f>(L18*I18)</f>
      </c>
      <c r="N18" s="2">
        <f>SUM(M18:M74)</f>
      </c>
      <c r="O18" s="2">
        <f>(1-((1-G18)*(1-H18)))</f>
      </c>
      <c r="P18" s="2">
        <f>MIN(1,((F18+O18)-((F18*O18)/2)))</f>
      </c>
      <c r="Q18" s="2">
        <f>(Q17*(1-P17))</f>
      </c>
      <c r="R18" s="2">
        <f>(Q18*I18)</f>
      </c>
      <c r="S18" s="2">
        <f>SUM(R18:R74)</f>
      </c>
      <c r="T18" s="2">
        <f>L18</f>
      </c>
      <c r="U18" s="2">
        <f>(L18*K18)</f>
      </c>
      <c r="V18" s="2">
        <f>M18</f>
      </c>
      <c r="W18" s="2">
        <f>R18</f>
      </c>
      <c r="X18" s="2">
        <f>N18</f>
      </c>
      <c r="Y18" s="2">
        <f>S18</f>
      </c>
      <c r="Z18" s="2">
        <f>1</f>
      </c>
      <c r="AA18" s="2">
        <f>((L18*K18)*J18)</f>
      </c>
      <c r="AB18" s="2">
        <f>SUMPRODUCT(Z18:Z73,AA18:AA73)</f>
      </c>
      <c r="AC18" s="2">
        <f>IF(V18=0,0,((AB18+(betaPrime*(X23-X74)))-(($BP$18*(Y18-Y23))*(D18&lt;=$BP$4)))/V18)</f>
      </c>
      <c r="AD18" s="4">
        <f>ROUND((AC18*100000),0)</f>
      </c>
      <c r="AE18" s="3">
        <v>0.355092966327522</v>
      </c>
      <c r="AF18" s="2">
        <f>MAX(AC18,AE18)</f>
      </c>
      <c r="AG18" s="2">
        <f>(($BP$19*MAX((MIN($BP$4,7)-D18),0))/MIN($BP$4,7))</f>
      </c>
      <c r="AH18" s="2">
        <f>MAX((AC18-AG18),0)</f>
      </c>
      <c r="AI18" s="2">
        <f>AH18</f>
      </c>
      <c r="AJ18" s="2">
        <f>((MIN(D18,$BP$4)*k_freq)*$BP$14)</f>
      </c>
      <c r="AK18" s="2">
        <f>IF(AJ18=0,0,AI18/AJ18)</f>
      </c>
      <c r="AM18" s="2">
        <f>MIN(1,((F18+H18)-((F18*H18)/2)))</f>
      </c>
      <c r="AN18" s="2">
        <f>(AN17*(1-AM17))</f>
      </c>
      <c r="AO18" s="2">
        <f>(AN18*I18)</f>
      </c>
      <c r="AP18" s="2">
        <f>SUM(AO18:AO63)</f>
      </c>
      <c r="AQ18" s="2">
        <f>(1-((1-G18)*(1-H18)))</f>
      </c>
      <c r="AR18" s="2">
        <f>MIN(1,((F18+AQ18)-((F18*AQ18)/2)))</f>
      </c>
      <c r="AS18" s="2">
        <f>(AS17*(1-AR17))</f>
      </c>
      <c r="AT18" s="2">
        <f>(AS18*I18)</f>
      </c>
      <c r="AU18" s="2">
        <f>SUM(AT18:AT63)</f>
      </c>
      <c r="AV18" s="2">
        <f>AN18</f>
      </c>
      <c r="AW18" s="2">
        <f>(AN18*H18)</f>
      </c>
      <c r="AX18" s="2">
        <f>AO18</f>
      </c>
      <c r="AY18" s="2">
        <f>AT18</f>
      </c>
      <c r="AZ18" s="2">
        <f>AP18</f>
      </c>
      <c r="BA18" s="2">
        <f>AU18</f>
      </c>
      <c r="BB18" s="2">
        <f>(1*IF((D18=0),(1-(3/12)),1))</f>
      </c>
      <c r="BC18" s="2">
        <f>((AN18*H18)*J18)</f>
      </c>
      <c r="BD18" s="2">
        <f>SUMPRODUCT(BB18:BB62,BC18:BC62)</f>
      </c>
      <c r="BE18" s="2">
        <f>IF(AX18=0,0,((BD18+(betaPrime*(AZ23-AZ63)))-(($BQ$18*(BA18-BA23))*(D18&lt;=$BQ$4)))/AX18)</f>
      </c>
      <c r="BF18" s="4">
        <f>ROUND((BE18*100000),0)</f>
      </c>
      <c r="BG18" s="3">
        <v>0.19676572377091367</v>
      </c>
      <c r="BH18" s="2">
        <f>MAX(BE18,BG18)</f>
      </c>
      <c r="BI18" s="2">
        <f>(($BQ$19*MAX((MIN($BQ$4,7)-D18),0))/MIN($BQ$4,7))</f>
      </c>
      <c r="BJ18" s="2">
        <f>MAX((BE18-BI18),0)</f>
      </c>
      <c r="BK18" s="2">
        <f>BJ18</f>
      </c>
      <c r="BL18" s="2">
        <f>((MIN(D18,$BQ$4)*k_freq)*$BQ$14)</f>
      </c>
      <c r="BM18" s="2">
        <f>IF(BL18=0,0,BK18/BL18)</f>
      </c>
      <c r="BO18" t="inlineStr">
        <is>
          <t xml:space="preserve">P_β 준비금 산출용 순보험료</t>
        </is>
      </c>
      <c r="BP18" s="3">
        <f>(($BP$10+(betaPrime*(X23-X74)))/(Y3-Y23))</f>
      </c>
      <c r="BQ18" s="3">
        <f>(($BQ$10+(betaPrime*(AZ23-AZ63)))/(BA3-BA23))</f>
      </c>
    </row>
    <row r="19">
      <c r="D19" s="1">
        <v>16</v>
      </c>
      <c r="E19" s="1">
        <f>x_age+D19</f>
      </c>
      <c r="F19" s="3">
        <v>0.00419</v>
      </c>
      <c r="G19" s="3">
        <v>0.000375</v>
      </c>
      <c r="H19" s="3">
        <v>0.006293</v>
      </c>
      <c r="I19" s="3">
        <f>v_disc^(D19)</f>
      </c>
      <c r="J19" s="3">
        <f>v_disc^(D19+0.5)</f>
      </c>
      <c r="K19" s="2">
        <f>MIN(1,((F19+G19)-((F19*G19)/2)))</f>
      </c>
      <c r="L19" s="2">
        <f>(L18*(1-K18))</f>
      </c>
      <c r="M19" s="2">
        <f>(L19*I19)</f>
      </c>
      <c r="N19" s="2">
        <f>SUM(M19:M74)</f>
      </c>
      <c r="O19" s="2">
        <f>(1-((1-G19)*(1-H19)))</f>
      </c>
      <c r="P19" s="2">
        <f>MIN(1,((F19+O19)-((F19*O19)/2)))</f>
      </c>
      <c r="Q19" s="2">
        <f>(Q18*(1-P18))</f>
      </c>
      <c r="R19" s="2">
        <f>(Q19*I19)</f>
      </c>
      <c r="S19" s="2">
        <f>SUM(R19:R74)</f>
      </c>
      <c r="T19" s="2">
        <f>L19</f>
      </c>
      <c r="U19" s="2">
        <f>(L19*K19)</f>
      </c>
      <c r="V19" s="2">
        <f>M19</f>
      </c>
      <c r="W19" s="2">
        <f>R19</f>
      </c>
      <c r="X19" s="2">
        <f>N19</f>
      </c>
      <c r="Y19" s="2">
        <f>S19</f>
      </c>
      <c r="Z19" s="2">
        <f>1</f>
      </c>
      <c r="AA19" s="2">
        <f>((L19*K19)*J19)</f>
      </c>
      <c r="AB19" s="2">
        <f>SUMPRODUCT(Z19:Z73,AA19:AA73)</f>
      </c>
      <c r="AC19" s="2">
        <f>IF(V19=0,0,((AB19+(betaPrime*(X23-X74)))-(($BP$18*(Y19-Y23))*(D19&lt;=$BP$4)))/V19)</f>
      </c>
      <c r="AD19" s="4">
        <f>ROUND((AC19*100000),0)</f>
      </c>
      <c r="AE19" s="3">
        <v>0.38374987435624014</v>
      </c>
      <c r="AF19" s="2">
        <f>MAX(AC19,AE19)</f>
      </c>
      <c r="AG19" s="2">
        <f>(($BP$19*MAX((MIN($BP$4,7)-D19),0))/MIN($BP$4,7))</f>
      </c>
      <c r="AH19" s="2">
        <f>MAX((AC19-AG19),0)</f>
      </c>
      <c r="AI19" s="2">
        <f>AH19</f>
      </c>
      <c r="AJ19" s="2">
        <f>((MIN(D19,$BP$4)*k_freq)*$BP$14)</f>
      </c>
      <c r="AK19" s="2">
        <f>IF(AJ19=0,0,AI19/AJ19)</f>
      </c>
      <c r="AM19" s="2">
        <f>MIN(1,((F19+H19)-((F19*H19)/2)))</f>
      </c>
      <c r="AN19" s="2">
        <f>(AN18*(1-AM18))</f>
      </c>
      <c r="AO19" s="2">
        <f>(AN19*I19)</f>
      </c>
      <c r="AP19" s="2">
        <f>SUM(AO19:AO63)</f>
      </c>
      <c r="AQ19" s="2">
        <f>(1-((1-G19)*(1-H19)))</f>
      </c>
      <c r="AR19" s="2">
        <f>MIN(1,((F19+AQ19)-((F19*AQ19)/2)))</f>
      </c>
      <c r="AS19" s="2">
        <f>(AS18*(1-AR18))</f>
      </c>
      <c r="AT19" s="2">
        <f>(AS19*I19)</f>
      </c>
      <c r="AU19" s="2">
        <f>SUM(AT19:AT63)</f>
      </c>
      <c r="AV19" s="2">
        <f>AN19</f>
      </c>
      <c r="AW19" s="2">
        <f>(AN19*H19)</f>
      </c>
      <c r="AX19" s="2">
        <f>AO19</f>
      </c>
      <c r="AY19" s="2">
        <f>AT19</f>
      </c>
      <c r="AZ19" s="2">
        <f>AP19</f>
      </c>
      <c r="BA19" s="2">
        <f>AU19</f>
      </c>
      <c r="BB19" s="2">
        <f>(1*IF((D19=0),(1-(3/12)),1))</f>
      </c>
      <c r="BC19" s="2">
        <f>((AN19*H19)*J19)</f>
      </c>
      <c r="BD19" s="2">
        <f>SUMPRODUCT(BB19:BB62,BC19:BC62)</f>
      </c>
      <c r="BE19" s="2">
        <f>IF(AX19=0,0,((BD19+(betaPrime*(AZ23-AZ63)))-(($BQ$18*(BA19-BA23))*(D19&lt;=$BQ$4)))/AX19)</f>
      </c>
      <c r="BF19" s="4">
        <f>ROUND((BE19*100000),0)</f>
      </c>
      <c r="BG19" s="3">
        <v>0.21258531689073143</v>
      </c>
      <c r="BH19" s="2">
        <f>MAX(BE19,BG19)</f>
      </c>
      <c r="BI19" s="2">
        <f>(($BQ$19*MAX((MIN($BQ$4,7)-D19),0))/MIN($BQ$4,7))</f>
      </c>
      <c r="BJ19" s="2">
        <f>MAX((BE19-BI19),0)</f>
      </c>
      <c r="BK19" s="2">
        <f>BJ19</f>
      </c>
      <c r="BL19" s="2">
        <f>((MIN(D19,$BQ$4)*k_freq)*$BQ$14)</f>
      </c>
      <c r="BM19" s="2">
        <f>IF(BL19=0,0,BK19/BL19)</f>
      </c>
      <c r="BO19" t="inlineStr">
        <is>
          <t xml:space="preserve">α^공제 해약공제 기준 신계약비</t>
        </is>
      </c>
      <c r="BP19" s="3">
        <f>MIN((alphaS+($BP$7*ROUND($BP$13,5))),$BP$8)</f>
      </c>
      <c r="BQ19" s="3">
        <f>MIN((alphaS+($BQ$7*ROUND($BQ$13,5))),$BQ$8)</f>
      </c>
    </row>
    <row r="20">
      <c r="D20" s="1">
        <v>17</v>
      </c>
      <c r="E20" s="1">
        <f>x_age+D20</f>
      </c>
      <c r="F20" s="3">
        <v>0.00463</v>
      </c>
      <c r="G20" s="3">
        <v>0.000389</v>
      </c>
      <c r="H20" s="3">
        <v>0.006852</v>
      </c>
      <c r="I20" s="3">
        <f>v_disc^(D20)</f>
      </c>
      <c r="J20" s="3">
        <f>v_disc^(D20+0.5)</f>
      </c>
      <c r="K20" s="2">
        <f>MIN(1,((F20+G20)-((F20*G20)/2)))</f>
      </c>
      <c r="L20" s="2">
        <f>(L19*(1-K19))</f>
      </c>
      <c r="M20" s="2">
        <f>(L20*I20)</f>
      </c>
      <c r="N20" s="2">
        <f>SUM(M20:M74)</f>
      </c>
      <c r="O20" s="2">
        <f>(1-((1-G20)*(1-H20)))</f>
      </c>
      <c r="P20" s="2">
        <f>MIN(1,((F20+O20)-((F20*O20)/2)))</f>
      </c>
      <c r="Q20" s="2">
        <f>(Q19*(1-P19))</f>
      </c>
      <c r="R20" s="2">
        <f>(Q20*I20)</f>
      </c>
      <c r="S20" s="2">
        <f>SUM(R20:R74)</f>
      </c>
      <c r="T20" s="2">
        <f>L20</f>
      </c>
      <c r="U20" s="2">
        <f>(L20*K20)</f>
      </c>
      <c r="V20" s="2">
        <f>M20</f>
      </c>
      <c r="W20" s="2">
        <f>R20</f>
      </c>
      <c r="X20" s="2">
        <f>N20</f>
      </c>
      <c r="Y20" s="2">
        <f>S20</f>
      </c>
      <c r="Z20" s="2">
        <f>1</f>
      </c>
      <c r="AA20" s="2">
        <f>((L20*K20)*J20)</f>
      </c>
      <c r="AB20" s="2">
        <f>SUMPRODUCT(Z20:Z73,AA20:AA73)</f>
      </c>
      <c r="AC20" s="2">
        <f>IF(V20=0,0,((AB20+(betaPrime*(X23-X74)))-(($BP$18*(Y20-Y23))*(D20&lt;=$BP$4)))/V20)</f>
      </c>
      <c r="AD20" s="4">
        <f>ROUND((AC20*100000),0)</f>
      </c>
      <c r="AE20" s="3">
        <v>0.413106967376021</v>
      </c>
      <c r="AF20" s="2">
        <f>MAX(AC20,AE20)</f>
      </c>
      <c r="AG20" s="2">
        <f>(($BP$19*MAX((MIN($BP$4,7)-D20),0))/MIN($BP$4,7))</f>
      </c>
      <c r="AH20" s="2">
        <f>MAX((AC20-AG20),0)</f>
      </c>
      <c r="AI20" s="2">
        <f>AH20</f>
      </c>
      <c r="AJ20" s="2">
        <f>((MIN(D20,$BP$4)*k_freq)*$BP$14)</f>
      </c>
      <c r="AK20" s="2">
        <f>IF(AJ20=0,0,AI20/AJ20)</f>
      </c>
      <c r="AM20" s="2">
        <f>MIN(1,((F20+H20)-((F20*H20)/2)))</f>
      </c>
      <c r="AN20" s="2">
        <f>(AN19*(1-AM19))</f>
      </c>
      <c r="AO20" s="2">
        <f>(AN20*I20)</f>
      </c>
      <c r="AP20" s="2">
        <f>SUM(AO20:AO63)</f>
      </c>
      <c r="AQ20" s="2">
        <f>(1-((1-G20)*(1-H20)))</f>
      </c>
      <c r="AR20" s="2">
        <f>MIN(1,((F20+AQ20)-((F20*AQ20)/2)))</f>
      </c>
      <c r="AS20" s="2">
        <f>(AS19*(1-AR19))</f>
      </c>
      <c r="AT20" s="2">
        <f>(AS20*I20)</f>
      </c>
      <c r="AU20" s="2">
        <f>SUM(AT20:AT63)</f>
      </c>
      <c r="AV20" s="2">
        <f>AN20</f>
      </c>
      <c r="AW20" s="2">
        <f>(AN20*H20)</f>
      </c>
      <c r="AX20" s="2">
        <f>AO20</f>
      </c>
      <c r="AY20" s="2">
        <f>AT20</f>
      </c>
      <c r="AZ20" s="2">
        <f>AP20</f>
      </c>
      <c r="BA20" s="2">
        <f>AU20</f>
      </c>
      <c r="BB20" s="2">
        <f>(1*IF((D20=0),(1-(3/12)),1))</f>
      </c>
      <c r="BC20" s="2">
        <f>((AN20*H20)*J20)</f>
      </c>
      <c r="BD20" s="2">
        <f>SUMPRODUCT(BB20:BB62,BC20:BC62)</f>
      </c>
      <c r="BE20" s="2">
        <f>IF(AX20=0,0,((BD20+(betaPrime*(AZ23-AZ63)))-(($BQ$18*(BA20-BA23))*(D20&lt;=$BQ$4)))/AX20)</f>
      </c>
      <c r="BF20" s="4">
        <f>ROUND((BE20*100000),0)</f>
      </c>
      <c r="BG20" s="3">
        <v>0.22876869758041307</v>
      </c>
      <c r="BH20" s="2">
        <f>MAX(BE20,BG20)</f>
      </c>
      <c r="BI20" s="2">
        <f>(($BQ$19*MAX((MIN($BQ$4,7)-D20),0))/MIN($BQ$4,7))</f>
      </c>
      <c r="BJ20" s="2">
        <f>MAX((BE20-BI20),0)</f>
      </c>
      <c r="BK20" s="2">
        <f>BJ20</f>
      </c>
      <c r="BL20" s="2">
        <f>((MIN(D20,$BQ$4)*k_freq)*$BQ$14)</f>
      </c>
      <c r="BM20" s="2">
        <f>IF(BL20=0,0,BK20/BL20)</f>
      </c>
    </row>
    <row r="21">
      <c r="D21" s="1">
        <v>18</v>
      </c>
      <c r="E21" s="1">
        <f>x_age+D21</f>
      </c>
      <c r="F21" s="3">
        <v>0.00514</v>
      </c>
      <c r="G21" s="3">
        <v>0.000402</v>
      </c>
      <c r="H21" s="3">
        <v>0.007483</v>
      </c>
      <c r="I21" s="3">
        <f>v_disc^(D21)</f>
      </c>
      <c r="J21" s="3">
        <f>v_disc^(D21+0.5)</f>
      </c>
      <c r="K21" s="2">
        <f>MIN(1,((F21+G21)-((F21*G21)/2)))</f>
      </c>
      <c r="L21" s="2">
        <f>(L20*(1-K20))</f>
      </c>
      <c r="M21" s="2">
        <f>(L21*I21)</f>
      </c>
      <c r="N21" s="2">
        <f>SUM(M21:M74)</f>
      </c>
      <c r="O21" s="2">
        <f>(1-((1-G21)*(1-H21)))</f>
      </c>
      <c r="P21" s="2">
        <f>MIN(1,((F21+O21)-((F21*O21)/2)))</f>
      </c>
      <c r="Q21" s="2">
        <f>(Q20*(1-P20))</f>
      </c>
      <c r="R21" s="2">
        <f>(Q21*I21)</f>
      </c>
      <c r="S21" s="2">
        <f>SUM(R21:R74)</f>
      </c>
      <c r="T21" s="2">
        <f>L21</f>
      </c>
      <c r="U21" s="2">
        <f>(L21*K21)</f>
      </c>
      <c r="V21" s="2">
        <f>M21</f>
      </c>
      <c r="W21" s="2">
        <f>R21</f>
      </c>
      <c r="X21" s="2">
        <f>N21</f>
      </c>
      <c r="Y21" s="2">
        <f>S21</f>
      </c>
      <c r="Z21" s="2">
        <f>1</f>
      </c>
      <c r="AA21" s="2">
        <f>((L21*K21)*J21)</f>
      </c>
      <c r="AB21" s="2">
        <f>SUMPRODUCT(Z21:Z73,AA21:AA73)</f>
      </c>
      <c r="AC21" s="2">
        <f>IF(V21=0,0,((AB21+(betaPrime*(X23-X74)))-(($BP$18*(Y21-Y23))*(D21&lt;=$BP$4)))/V21)</f>
      </c>
      <c r="AD21" s="4">
        <f>ROUND((AC21*100000),0)</f>
      </c>
      <c r="AE21" s="3">
        <v>0.44317149516042426</v>
      </c>
      <c r="AF21" s="2">
        <f>MAX(AC21,AE21)</f>
      </c>
      <c r="AG21" s="2">
        <f>(($BP$19*MAX((MIN($BP$4,7)-D21),0))/MIN($BP$4,7))</f>
      </c>
      <c r="AH21" s="2">
        <f>MAX((AC21-AG21),0)</f>
      </c>
      <c r="AI21" s="2">
        <f>AH21</f>
      </c>
      <c r="AJ21" s="2">
        <f>((MIN(D21,$BP$4)*k_freq)*$BP$14)</f>
      </c>
      <c r="AK21" s="2">
        <f>IF(AJ21=0,0,AI21/AJ21)</f>
      </c>
      <c r="AM21" s="2">
        <f>MIN(1,((F21+H21)-((F21*H21)/2)))</f>
      </c>
      <c r="AN21" s="2">
        <f>(AN20*(1-AM20))</f>
      </c>
      <c r="AO21" s="2">
        <f>(AN21*I21)</f>
      </c>
      <c r="AP21" s="2">
        <f>SUM(AO21:AO63)</f>
      </c>
      <c r="AQ21" s="2">
        <f>(1-((1-G21)*(1-H21)))</f>
      </c>
      <c r="AR21" s="2">
        <f>MIN(1,((F21+AQ21)-((F21*AQ21)/2)))</f>
      </c>
      <c r="AS21" s="2">
        <f>(AS20*(1-AR20))</f>
      </c>
      <c r="AT21" s="2">
        <f>(AS21*I21)</f>
      </c>
      <c r="AU21" s="2">
        <f>SUM(AT21:AT63)</f>
      </c>
      <c r="AV21" s="2">
        <f>AN21</f>
      </c>
      <c r="AW21" s="2">
        <f>(AN21*H21)</f>
      </c>
      <c r="AX21" s="2">
        <f>AO21</f>
      </c>
      <c r="AY21" s="2">
        <f>AT21</f>
      </c>
      <c r="AZ21" s="2">
        <f>AP21</f>
      </c>
      <c r="BA21" s="2">
        <f>AU21</f>
      </c>
      <c r="BB21" s="2">
        <f>(1*IF((D21=0),(1-(3/12)),1))</f>
      </c>
      <c r="BC21" s="2">
        <f>((AN21*H21)*J21)</f>
      </c>
      <c r="BD21" s="2">
        <f>SUMPRODUCT(BB21:BB62,BC21:BC62)</f>
      </c>
      <c r="BE21" s="2">
        <f>IF(AX21=0,0,((BD21+(betaPrime*(AZ23-AZ63)))-(($BQ$18*(BA21-BA23))*(D21&lt;=$BQ$4)))/AX21)</f>
      </c>
      <c r="BF21" s="4">
        <f>ROUND((BE21*100000),0)</f>
      </c>
      <c r="BG21" s="3">
        <v>0.24532277738968686</v>
      </c>
      <c r="BH21" s="2">
        <f>MAX(BE21,BG21)</f>
      </c>
      <c r="BI21" s="2">
        <f>(($BQ$19*MAX((MIN($BQ$4,7)-D21),0))/MIN($BQ$4,7))</f>
      </c>
      <c r="BJ21" s="2">
        <f>MAX((BE21-BI21),0)</f>
      </c>
      <c r="BK21" s="2">
        <f>BJ21</f>
      </c>
      <c r="BL21" s="2">
        <f>((MIN(D21,$BQ$4)*k_freq)*$BQ$14)</f>
      </c>
      <c r="BM21" s="2">
        <f>IF(BL21=0,0,BK21/BL21)</f>
      </c>
      <c r="BO21" t="inlineStr">
        <is>
          <t xml:space="preserve">담보 보험료의 합이 이 단위의 보험료입니다. 10만원당 보험료는 담보마다 원 단위로 반올림하고, 담보 보험료는 10원 미만을 버린 뒤 더합니다.</t>
        </is>
      </c>
    </row>
    <row r="22">
      <c r="D22" s="1">
        <v>19</v>
      </c>
      <c r="E22" s="1">
        <f>x_age+D22</f>
      </c>
      <c r="F22" s="3">
        <v>0.00571</v>
      </c>
      <c r="G22" s="3">
        <v>0.000417</v>
      </c>
      <c r="H22" s="3">
        <v>0.008181</v>
      </c>
      <c r="I22" s="3">
        <f>v_disc^(D22)</f>
      </c>
      <c r="J22" s="3">
        <f>v_disc^(D22+0.5)</f>
      </c>
      <c r="K22" s="2">
        <f>MIN(1,((F22+G22)-((F22*G22)/2)))</f>
      </c>
      <c r="L22" s="2">
        <f>(L21*(1-K21))</f>
      </c>
      <c r="M22" s="2">
        <f>(L22*I22)</f>
      </c>
      <c r="N22" s="2">
        <f>SUM(M22:M74)</f>
      </c>
      <c r="O22" s="2">
        <f>(1-((1-G22)*(1-H22)))</f>
      </c>
      <c r="P22" s="2">
        <f>MIN(1,((F22+O22)-((F22*O22)/2)))</f>
      </c>
      <c r="Q22" s="2">
        <f>(Q21*(1-P21))</f>
      </c>
      <c r="R22" s="2">
        <f>(Q22*I22)</f>
      </c>
      <c r="S22" s="2">
        <f>SUM(R22:R74)</f>
      </c>
      <c r="T22" s="2">
        <f>L22</f>
      </c>
      <c r="U22" s="2">
        <f>(L22*K22)</f>
      </c>
      <c r="V22" s="2">
        <f>M22</f>
      </c>
      <c r="W22" s="2">
        <f>R22</f>
      </c>
      <c r="X22" s="2">
        <f>N22</f>
      </c>
      <c r="Y22" s="2">
        <f>S22</f>
      </c>
      <c r="Z22" s="2">
        <f>1</f>
      </c>
      <c r="AA22" s="2">
        <f>((L22*K22)*J22)</f>
      </c>
      <c r="AB22" s="2">
        <f>SUMPRODUCT(Z22:Z73,AA22:AA73)</f>
      </c>
      <c r="AC22" s="2">
        <f>IF(V22=0,0,((AB22+(betaPrime*(X23-X74)))-(($BP$18*(Y22-Y23))*(D22&lt;=$BP$4)))/V22)</f>
      </c>
      <c r="AD22" s="4">
        <f>ROUND((AC22*100000),0)</f>
      </c>
      <c r="AE22" s="3">
        <v>0.47395006829995556</v>
      </c>
      <c r="AF22" s="2">
        <f>MAX(AC22,AE22)</f>
      </c>
      <c r="AG22" s="2">
        <f>(($BP$19*MAX((MIN($BP$4,7)-D22),0))/MIN($BP$4,7))</f>
      </c>
      <c r="AH22" s="2">
        <f>MAX((AC22-AG22),0)</f>
      </c>
      <c r="AI22" s="2">
        <f>AH22</f>
      </c>
      <c r="AJ22" s="2">
        <f>((MIN(D22,$BP$4)*k_freq)*$BP$14)</f>
      </c>
      <c r="AK22" s="2">
        <f>IF(AJ22=0,0,AI22/AJ22)</f>
      </c>
      <c r="AM22" s="2">
        <f>MIN(1,((F22+H22)-((F22*H22)/2)))</f>
      </c>
      <c r="AN22" s="2">
        <f>(AN21*(1-AM21))</f>
      </c>
      <c r="AO22" s="2">
        <f>(AN22*I22)</f>
      </c>
      <c r="AP22" s="2">
        <f>SUM(AO22:AO63)</f>
      </c>
      <c r="AQ22" s="2">
        <f>(1-((1-G22)*(1-H22)))</f>
      </c>
      <c r="AR22" s="2">
        <f>MIN(1,((F22+AQ22)-((F22*AQ22)/2)))</f>
      </c>
      <c r="AS22" s="2">
        <f>(AS21*(1-AR21))</f>
      </c>
      <c r="AT22" s="2">
        <f>(AS22*I22)</f>
      </c>
      <c r="AU22" s="2">
        <f>SUM(AT22:AT63)</f>
      </c>
      <c r="AV22" s="2">
        <f>AN22</f>
      </c>
      <c r="AW22" s="2">
        <f>(AN22*H22)</f>
      </c>
      <c r="AX22" s="2">
        <f>AO22</f>
      </c>
      <c r="AY22" s="2">
        <f>AT22</f>
      </c>
      <c r="AZ22" s="2">
        <f>AP22</f>
      </c>
      <c r="BA22" s="2">
        <f>AU22</f>
      </c>
      <c r="BB22" s="2">
        <f>(1*IF((D22=0),(1-(3/12)),1))</f>
      </c>
      <c r="BC22" s="2">
        <f>((AN22*H22)*J22)</f>
      </c>
      <c r="BD22" s="2">
        <f>SUMPRODUCT(BB22:BB62,BC22:BC62)</f>
      </c>
      <c r="BE22" s="2">
        <f>IF(AX22=0,0,((BD22+(betaPrime*(AZ23-AZ63)))-(($BQ$18*(BA22-BA23))*(D22&lt;=$BQ$4)))/AX22)</f>
      </c>
      <c r="BF22" s="4">
        <f>ROUND((BE22*100000),0)</f>
      </c>
      <c r="BG22" s="3">
        <v>0.2622610928602645</v>
      </c>
      <c r="BH22" s="2">
        <f>MAX(BE22,BG22)</f>
      </c>
      <c r="BI22" s="2">
        <f>(($BQ$19*MAX((MIN($BQ$4,7)-D22),0))/MIN($BQ$4,7))</f>
      </c>
      <c r="BJ22" s="2">
        <f>MAX((BE22-BI22),0)</f>
      </c>
      <c r="BK22" s="2">
        <f>BJ22</f>
      </c>
      <c r="BL22" s="2">
        <f>((MIN(D22,$BQ$4)*k_freq)*$BQ$14)</f>
      </c>
      <c r="BM22" s="2">
        <f>IF(BL22=0,0,BK22/BL22)</f>
      </c>
    </row>
    <row r="23">
      <c r="D23" s="1">
        <v>20</v>
      </c>
      <c r="E23" s="1">
        <f>x_age+D23</f>
      </c>
      <c r="F23" s="3">
        <v>0.00633</v>
      </c>
      <c r="G23" s="3">
        <v>0.000517</v>
      </c>
      <c r="H23" s="3">
        <v>0.00893</v>
      </c>
      <c r="I23" s="3">
        <f>v_disc^(D23)</f>
      </c>
      <c r="J23" s="3">
        <f>v_disc^(D23+0.5)</f>
      </c>
      <c r="K23" s="2">
        <f>MIN(1,((F23+G23)-((F23*G23)/2)))</f>
      </c>
      <c r="L23" s="2">
        <f>(L22*(1-K22))</f>
      </c>
      <c r="M23" s="2">
        <f>(L23*I23)</f>
      </c>
      <c r="N23" s="2">
        <f>SUM(M23:M74)</f>
      </c>
      <c r="O23" s="2">
        <f>(1-((1-G23)*(1-H23)))</f>
      </c>
      <c r="P23" s="2">
        <f>MIN(1,((F23+O23)-((F23*O23)/2)))</f>
      </c>
      <c r="Q23" s="2">
        <f>(Q22*(1-P22))</f>
      </c>
      <c r="R23" s="2">
        <f>(Q23*I23)</f>
      </c>
      <c r="S23" s="2">
        <f>SUM(R23:R74)</f>
      </c>
      <c r="T23" s="2">
        <f>L23</f>
      </c>
      <c r="U23" s="2">
        <f>(L23*K23)</f>
      </c>
      <c r="V23" s="2">
        <f>M23</f>
      </c>
      <c r="W23" s="2">
        <f>R23</f>
      </c>
      <c r="X23" s="2">
        <f>N23</f>
      </c>
      <c r="Y23" s="2">
        <f>S23</f>
      </c>
      <c r="Z23" s="2">
        <f>1</f>
      </c>
      <c r="AA23" s="2">
        <f>((L23*K23)*J23)</f>
      </c>
      <c r="AB23" s="2">
        <f>SUMPRODUCT(Z23:Z73,AA23:AA73)</f>
      </c>
      <c r="AC23" s="2">
        <f>IF(V23=0,0,((AB23+(betaPrime*(X23-X74)))-(($BP$18*(Y23-Y23))*(D23&lt;=$BP$4)))/V23)</f>
      </c>
      <c r="AD23" s="4">
        <f>ROUND((AC23*100000),0)</f>
      </c>
      <c r="AE23" s="3">
        <v>0.5054594889965942</v>
      </c>
      <c r="AF23" s="2">
        <f>MAX(AC23,AE23)</f>
      </c>
      <c r="AG23" s="2">
        <f>(($BP$19*MAX((MIN($BP$4,7)-D23),0))/MIN($BP$4,7))</f>
      </c>
      <c r="AH23" s="2">
        <f>MAX((AC23-AG23),0)</f>
      </c>
      <c r="AI23" s="2">
        <f>AH23</f>
      </c>
      <c r="AJ23" s="2">
        <f>((MIN(D23,$BP$4)*k_freq)*$BP$14)</f>
      </c>
      <c r="AK23" s="2">
        <f>IF(AJ23=0,0,AI23/AJ23)</f>
      </c>
      <c r="AM23" s="2">
        <f>MIN(1,((F23+H23)-((F23*H23)/2)))</f>
      </c>
      <c r="AN23" s="2">
        <f>(AN22*(1-AM22))</f>
      </c>
      <c r="AO23" s="2">
        <f>(AN23*I23)</f>
      </c>
      <c r="AP23" s="2">
        <f>SUM(AO23:AO63)</f>
      </c>
      <c r="AQ23" s="2">
        <f>(1-((1-G23)*(1-H23)))</f>
      </c>
      <c r="AR23" s="2">
        <f>MIN(1,((F23+AQ23)-((F23*AQ23)/2)))</f>
      </c>
      <c r="AS23" s="2">
        <f>(AS22*(1-AR22))</f>
      </c>
      <c r="AT23" s="2">
        <f>(AS23*I23)</f>
      </c>
      <c r="AU23" s="2">
        <f>SUM(AT23:AT63)</f>
      </c>
      <c r="AV23" s="2">
        <f>AN23</f>
      </c>
      <c r="AW23" s="2">
        <f>(AN23*H23)</f>
      </c>
      <c r="AX23" s="2">
        <f>AO23</f>
      </c>
      <c r="AY23" s="2">
        <f>AT23</f>
      </c>
      <c r="AZ23" s="2">
        <f>AP23</f>
      </c>
      <c r="BA23" s="2">
        <f>AU23</f>
      </c>
      <c r="BB23" s="2">
        <f>(1*IF((D23=0),(1-(3/12)),1))</f>
      </c>
      <c r="BC23" s="2">
        <f>((AN23*H23)*J23)</f>
      </c>
      <c r="BD23" s="2">
        <f>SUMPRODUCT(BB23:BB62,BC23:BC62)</f>
      </c>
      <c r="BE23" s="2">
        <f>IF(AX23=0,0,((BD23+(betaPrime*(AZ23-AZ63)))-(($BQ$18*(BA23-BA23))*(D23&lt;=$BQ$4)))/AX23)</f>
      </c>
      <c r="BF23" s="4">
        <f>ROUND((BE23*100000),0)</f>
      </c>
      <c r="BG23" s="3">
        <v>0.2796073224245975</v>
      </c>
      <c r="BH23" s="2">
        <f>MAX(BE23,BG23)</f>
      </c>
      <c r="BI23" s="2">
        <f>(($BQ$19*MAX((MIN($BQ$4,7)-D23),0))/MIN($BQ$4,7))</f>
      </c>
      <c r="BJ23" s="2">
        <f>MAX((BE23-BI23),0)</f>
      </c>
      <c r="BK23" s="2">
        <f>BJ23</f>
      </c>
      <c r="BL23" s="2">
        <f>((MIN(D23,$BQ$4)*k_freq)*$BQ$14)</f>
      </c>
      <c r="BM23" s="2">
        <f>IF(BL23=0,0,BK23/BL23)</f>
      </c>
    </row>
    <row r="24">
      <c r="D24" s="1">
        <v>21</v>
      </c>
      <c r="E24" s="1">
        <f>x_age+D24</f>
      </c>
      <c r="F24" s="3">
        <v>0.007</v>
      </c>
      <c r="G24" s="3">
        <v>0.000531</v>
      </c>
      <c r="H24" s="3">
        <v>0.009724</v>
      </c>
      <c r="I24" s="3">
        <f>v_disc^(D24)</f>
      </c>
      <c r="J24" s="3">
        <f>v_disc^(D24+0.5)</f>
      </c>
      <c r="K24" s="2">
        <f>MIN(1,((F24+G24)-((F24*G24)/2)))</f>
      </c>
      <c r="L24" s="2">
        <f>(L23*(1-K23))</f>
      </c>
      <c r="M24" s="2">
        <f>(L24*I24)</f>
      </c>
      <c r="N24" s="2">
        <f>SUM(M24:M74)</f>
      </c>
      <c r="O24" s="2">
        <f>(1-((1-G24)*(1-H24)))</f>
      </c>
      <c r="P24" s="2">
        <f>MIN(1,((F24+O24)-((F24*O24)/2)))</f>
      </c>
      <c r="Q24" s="2">
        <f>(Q23*(1-P23))</f>
      </c>
      <c r="R24" s="2">
        <f>(Q24*I24)</f>
      </c>
      <c r="S24" s="2">
        <f>SUM(R24:R74)</f>
      </c>
      <c r="T24" s="2">
        <f>L24</f>
      </c>
      <c r="U24" s="2">
        <f>(L24*K24)</f>
      </c>
      <c r="V24" s="2">
        <f>M24</f>
      </c>
      <c r="W24" s="2">
        <f>R24</f>
      </c>
      <c r="X24" s="2">
        <f>N24</f>
      </c>
      <c r="Y24" s="2">
        <f>S24</f>
      </c>
      <c r="Z24" s="2">
        <f>1</f>
      </c>
      <c r="AA24" s="2">
        <f>((L24*K24)*J24)</f>
      </c>
      <c r="AB24" s="2">
        <f>SUMPRODUCT(Z24:Z73,AA24:AA73)</f>
      </c>
      <c r="AC24" s="2">
        <f>IF(V24=0,0,((AB24+(betaPrime*(X24-X74)))-(($BP$18*(Y24-Y23))*(D24&lt;=$BP$4)))/V24)</f>
      </c>
      <c r="AD24" s="4">
        <f>ROUND((AC24*100000),0)</f>
      </c>
      <c r="AE24" s="3">
        <v>0.5174407812792651</v>
      </c>
      <c r="AF24" s="2">
        <f>MAX(AC24,AE24)</f>
      </c>
      <c r="AG24" s="2">
        <f>(($BP$19*MAX((MIN($BP$4,7)-D24),0))/MIN($BP$4,7))</f>
      </c>
      <c r="AH24" s="2">
        <f>MAX((AC24-AG24),0)</f>
      </c>
      <c r="AI24" s="2">
        <f>AH24</f>
      </c>
      <c r="AJ24" s="2">
        <f>((MIN(D24,$BP$4)*k_freq)*$BP$14)</f>
      </c>
      <c r="AK24" s="2">
        <f>IF(AJ24=0,0,AI24/AJ24)</f>
      </c>
      <c r="AM24" s="2">
        <f>MIN(1,((F24+H24)-((F24*H24)/2)))</f>
      </c>
      <c r="AN24" s="2">
        <f>(AN23*(1-AM23))</f>
      </c>
      <c r="AO24" s="2">
        <f>(AN24*I24)</f>
      </c>
      <c r="AP24" s="2">
        <f>SUM(AO24:AO63)</f>
      </c>
      <c r="AQ24" s="2">
        <f>(1-((1-G24)*(1-H24)))</f>
      </c>
      <c r="AR24" s="2">
        <f>MIN(1,((F24+AQ24)-((F24*AQ24)/2)))</f>
      </c>
      <c r="AS24" s="2">
        <f>(AS23*(1-AR23))</f>
      </c>
      <c r="AT24" s="2">
        <f>(AS24*I24)</f>
      </c>
      <c r="AU24" s="2">
        <f>SUM(AT24:AT63)</f>
      </c>
      <c r="AV24" s="2">
        <f>AN24</f>
      </c>
      <c r="AW24" s="2">
        <f>(AN24*H24)</f>
      </c>
      <c r="AX24" s="2">
        <f>AO24</f>
      </c>
      <c r="AY24" s="2">
        <f>AT24</f>
      </c>
      <c r="AZ24" s="2">
        <f>AP24</f>
      </c>
      <c r="BA24" s="2">
        <f>AU24</f>
      </c>
      <c r="BB24" s="2">
        <f>(1*IF((D24=0),(1-(3/12)),1))</f>
      </c>
      <c r="BC24" s="2">
        <f>((AN24*H24)*J24)</f>
      </c>
      <c r="BD24" s="2">
        <f>SUMPRODUCT(BB24:BB62,BC24:BC62)</f>
      </c>
      <c r="BE24" s="2">
        <f>IF(AX24=0,0,((BD24+(betaPrime*(AZ24-AZ63)))-(($BQ$18*(BA24-BA23))*(D24&lt;=$BQ$4)))/AX24)</f>
      </c>
      <c r="BF24" s="4">
        <f>ROUND((BE24*100000),0)</f>
      </c>
      <c r="BG24" s="3">
        <v>0.2828971226058924</v>
      </c>
      <c r="BH24" s="2">
        <f>MAX(BE24,BG24)</f>
      </c>
      <c r="BI24" s="2">
        <f>(($BQ$19*MAX((MIN($BQ$4,7)-D24),0))/MIN($BQ$4,7))</f>
      </c>
      <c r="BJ24" s="2">
        <f>MAX((BE24-BI24),0)</f>
      </c>
      <c r="BK24" s="2">
        <f>BJ24</f>
      </c>
      <c r="BL24" s="2">
        <f>((MIN(D24,$BQ$4)*k_freq)*$BQ$14)</f>
      </c>
      <c r="BM24" s="2">
        <f>IF(BL24=0,0,BK24/BL24)</f>
      </c>
    </row>
    <row r="25">
      <c r="D25" s="1">
        <v>22</v>
      </c>
      <c r="E25" s="1">
        <f>x_age+D25</f>
      </c>
      <c r="F25" s="3">
        <v>0.00772</v>
      </c>
      <c r="G25" s="3">
        <v>0.000544</v>
      </c>
      <c r="H25" s="3">
        <v>0.01057</v>
      </c>
      <c r="I25" s="3">
        <f>v_disc^(D25)</f>
      </c>
      <c r="J25" s="3">
        <f>v_disc^(D25+0.5)</f>
      </c>
      <c r="K25" s="2">
        <f>MIN(1,((F25+G25)-((F25*G25)/2)))</f>
      </c>
      <c r="L25" s="2">
        <f>(L24*(1-K24))</f>
      </c>
      <c r="M25" s="2">
        <f>(L25*I25)</f>
      </c>
      <c r="N25" s="2">
        <f>SUM(M25:M74)</f>
      </c>
      <c r="O25" s="2">
        <f>(1-((1-G25)*(1-H25)))</f>
      </c>
      <c r="P25" s="2">
        <f>MIN(1,((F25+O25)-((F25*O25)/2)))</f>
      </c>
      <c r="Q25" s="2">
        <f>(Q24*(1-P24))</f>
      </c>
      <c r="R25" s="2">
        <f>(Q25*I25)</f>
      </c>
      <c r="S25" s="2">
        <f>SUM(R25:R74)</f>
      </c>
      <c r="T25" s="2">
        <f>L25</f>
      </c>
      <c r="U25" s="2">
        <f>(L25*K25)</f>
      </c>
      <c r="V25" s="2">
        <f>M25</f>
      </c>
      <c r="W25" s="2">
        <f>R25</f>
      </c>
      <c r="X25" s="2">
        <f>N25</f>
      </c>
      <c r="Y25" s="2">
        <f>S25</f>
      </c>
      <c r="Z25" s="2">
        <f>1</f>
      </c>
      <c r="AA25" s="2">
        <f>((L25*K25)*J25)</f>
      </c>
      <c r="AB25" s="2">
        <f>SUMPRODUCT(Z25:Z73,AA25:AA73)</f>
      </c>
      <c r="AC25" s="2">
        <f>IF(V25=0,0,((AB25+(betaPrime*(X25-X74)))-(($BP$18*(Y25-Y23))*(D25&lt;=$BP$4)))/V25)</f>
      </c>
      <c r="AD25" s="4">
        <f>ROUND((AC25*100000),0)</f>
      </c>
      <c r="AE25" s="3">
        <v>0.5295617401449729</v>
      </c>
      <c r="AF25" s="2">
        <f>MAX(AC25,AE25)</f>
      </c>
      <c r="AG25" s="2">
        <f>(($BP$19*MAX((MIN($BP$4,7)-D25),0))/MIN($BP$4,7))</f>
      </c>
      <c r="AH25" s="2">
        <f>MAX((AC25-AG25),0)</f>
      </c>
      <c r="AI25" s="2">
        <f>AH25</f>
      </c>
      <c r="AJ25" s="2">
        <f>((MIN(D25,$BP$4)*k_freq)*$BP$14)</f>
      </c>
      <c r="AK25" s="2">
        <f>IF(AJ25=0,0,AI25/AJ25)</f>
      </c>
      <c r="AM25" s="2">
        <f>MIN(1,((F25+H25)-((F25*H25)/2)))</f>
      </c>
      <c r="AN25" s="2">
        <f>(AN24*(1-AM24))</f>
      </c>
      <c r="AO25" s="2">
        <f>(AN25*I25)</f>
      </c>
      <c r="AP25" s="2">
        <f>SUM(AO25:AO63)</f>
      </c>
      <c r="AQ25" s="2">
        <f>(1-((1-G25)*(1-H25)))</f>
      </c>
      <c r="AR25" s="2">
        <f>MIN(1,((F25+AQ25)-((F25*AQ25)/2)))</f>
      </c>
      <c r="AS25" s="2">
        <f>(AS24*(1-AR24))</f>
      </c>
      <c r="AT25" s="2">
        <f>(AS25*I25)</f>
      </c>
      <c r="AU25" s="2">
        <f>SUM(AT25:AT63)</f>
      </c>
      <c r="AV25" s="2">
        <f>AN25</f>
      </c>
      <c r="AW25" s="2">
        <f>(AN25*H25)</f>
      </c>
      <c r="AX25" s="2">
        <f>AO25</f>
      </c>
      <c r="AY25" s="2">
        <f>AT25</f>
      </c>
      <c r="AZ25" s="2">
        <f>AP25</f>
      </c>
      <c r="BA25" s="2">
        <f>AU25</f>
      </c>
      <c r="BB25" s="2">
        <f>(1*IF((D25=0),(1-(3/12)),1))</f>
      </c>
      <c r="BC25" s="2">
        <f>((AN25*H25)*J25)</f>
      </c>
      <c r="BD25" s="2">
        <f>SUMPRODUCT(BB25:BB62,BC25:BC62)</f>
      </c>
      <c r="BE25" s="2">
        <f>IF(AX25=0,0,((BD25+(betaPrime*(AZ25-AZ63)))-(($BQ$18*(BA25-BA23))*(D25&lt;=$BQ$4)))/AX25)</f>
      </c>
      <c r="BF25" s="4">
        <f>ROUND((BE25*100000),0)</f>
      </c>
      <c r="BG25" s="3">
        <v>0.2859505321735658</v>
      </c>
      <c r="BH25" s="2">
        <f>MAX(BE25,BG25)</f>
      </c>
      <c r="BI25" s="2">
        <f>(($BQ$19*MAX((MIN($BQ$4,7)-D25),0))/MIN($BQ$4,7))</f>
      </c>
      <c r="BJ25" s="2">
        <f>MAX((BE25-BI25),0)</f>
      </c>
      <c r="BK25" s="2">
        <f>BJ25</f>
      </c>
      <c r="BL25" s="2">
        <f>((MIN(D25,$BQ$4)*k_freq)*$BQ$14)</f>
      </c>
      <c r="BM25" s="2">
        <f>IF(BL25=0,0,BK25/BL25)</f>
      </c>
    </row>
    <row r="26">
      <c r="D26" s="1">
        <v>23</v>
      </c>
      <c r="E26" s="1">
        <f>x_age+D26</f>
      </c>
      <c r="F26" s="3">
        <v>0.00848</v>
      </c>
      <c r="G26" s="3">
        <v>0.000562</v>
      </c>
      <c r="H26" s="3">
        <v>0.011465</v>
      </c>
      <c r="I26" s="3">
        <f>v_disc^(D26)</f>
      </c>
      <c r="J26" s="3">
        <f>v_disc^(D26+0.5)</f>
      </c>
      <c r="K26" s="2">
        <f>MIN(1,((F26+G26)-((F26*G26)/2)))</f>
      </c>
      <c r="L26" s="2">
        <f>(L25*(1-K25))</f>
      </c>
      <c r="M26" s="2">
        <f>(L26*I26)</f>
      </c>
      <c r="N26" s="2">
        <f>SUM(M26:M74)</f>
      </c>
      <c r="O26" s="2">
        <f>(1-((1-G26)*(1-H26)))</f>
      </c>
      <c r="P26" s="2">
        <f>MIN(1,((F26+O26)-((F26*O26)/2)))</f>
      </c>
      <c r="Q26" s="2">
        <f>(Q25*(1-P25))</f>
      </c>
      <c r="R26" s="2">
        <f>(Q26*I26)</f>
      </c>
      <c r="S26" s="2">
        <f>SUM(R26:R74)</f>
      </c>
      <c r="T26" s="2">
        <f>L26</f>
      </c>
      <c r="U26" s="2">
        <f>(L26*K26)</f>
      </c>
      <c r="V26" s="2">
        <f>M26</f>
      </c>
      <c r="W26" s="2">
        <f>R26</f>
      </c>
      <c r="X26" s="2">
        <f>N26</f>
      </c>
      <c r="Y26" s="2">
        <f>S26</f>
      </c>
      <c r="Z26" s="2">
        <f>1</f>
      </c>
      <c r="AA26" s="2">
        <f>((L26*K26)*J26)</f>
      </c>
      <c r="AB26" s="2">
        <f>SUMPRODUCT(Z26:Z73,AA26:AA73)</f>
      </c>
      <c r="AC26" s="2">
        <f>IF(V26=0,0,((AB26+(betaPrime*(X26-X74)))-(($BP$18*(Y26-Y23))*(D26&lt;=$BP$4)))/V26)</f>
      </c>
      <c r="AD26" s="4">
        <f>ROUND((AC26*100000),0)</f>
      </c>
      <c r="AE26" s="3">
        <v>0.5418213883321336</v>
      </c>
      <c r="AF26" s="2">
        <f>MAX(AC26,AE26)</f>
      </c>
      <c r="AG26" s="2">
        <f>(($BP$19*MAX((MIN($BP$4,7)-D26),0))/MIN($BP$4,7))</f>
      </c>
      <c r="AH26" s="2">
        <f>MAX((AC26-AG26),0)</f>
      </c>
      <c r="AI26" s="2">
        <f>AH26</f>
      </c>
      <c r="AJ26" s="2">
        <f>((MIN(D26,$BP$4)*k_freq)*$BP$14)</f>
      </c>
      <c r="AK26" s="2">
        <f>IF(AJ26=0,0,AI26/AJ26)</f>
      </c>
      <c r="AM26" s="2">
        <f>MIN(1,((F26+H26)-((F26*H26)/2)))</f>
      </c>
      <c r="AN26" s="2">
        <f>(AN25*(1-AM25))</f>
      </c>
      <c r="AO26" s="2">
        <f>(AN26*I26)</f>
      </c>
      <c r="AP26" s="2">
        <f>SUM(AO26:AO63)</f>
      </c>
      <c r="AQ26" s="2">
        <f>(1-((1-G26)*(1-H26)))</f>
      </c>
      <c r="AR26" s="2">
        <f>MIN(1,((F26+AQ26)-((F26*AQ26)/2)))</f>
      </c>
      <c r="AS26" s="2">
        <f>(AS25*(1-AR25))</f>
      </c>
      <c r="AT26" s="2">
        <f>(AS26*I26)</f>
      </c>
      <c r="AU26" s="2">
        <f>SUM(AT26:AT63)</f>
      </c>
      <c r="AV26" s="2">
        <f>AN26</f>
      </c>
      <c r="AW26" s="2">
        <f>(AN26*H26)</f>
      </c>
      <c r="AX26" s="2">
        <f>AO26</f>
      </c>
      <c r="AY26" s="2">
        <f>AT26</f>
      </c>
      <c r="AZ26" s="2">
        <f>AP26</f>
      </c>
      <c r="BA26" s="2">
        <f>AU26</f>
      </c>
      <c r="BB26" s="2">
        <f>(1*IF((D26=0),(1-(3/12)),1))</f>
      </c>
      <c r="BC26" s="2">
        <f>((AN26*H26)*J26)</f>
      </c>
      <c r="BD26" s="2">
        <f>SUMPRODUCT(BB26:BB62,BC26:BC62)</f>
      </c>
      <c r="BE26" s="2">
        <f>IF(AX26=0,0,((BD26+(betaPrime*(AZ26-AZ63)))-(($BQ$18*(BA26-BA23))*(D26&lt;=$BQ$4)))/AX26)</f>
      </c>
      <c r="BF26" s="4">
        <f>ROUND((BE26*100000),0)</f>
      </c>
      <c r="BG26" s="3">
        <v>0.28874031501086644</v>
      </c>
      <c r="BH26" s="2">
        <f>MAX(BE26,BG26)</f>
      </c>
      <c r="BI26" s="2">
        <f>(($BQ$19*MAX((MIN($BQ$4,7)-D26),0))/MIN($BQ$4,7))</f>
      </c>
      <c r="BJ26" s="2">
        <f>MAX((BE26-BI26),0)</f>
      </c>
      <c r="BK26" s="2">
        <f>BJ26</f>
      </c>
      <c r="BL26" s="2">
        <f>((MIN(D26,$BQ$4)*k_freq)*$BQ$14)</f>
      </c>
      <c r="BM26" s="2">
        <f>IF(BL26=0,0,BK26/BL26)</f>
      </c>
    </row>
    <row r="27">
      <c r="D27" s="1">
        <v>24</v>
      </c>
      <c r="E27" s="1">
        <f>x_age+D27</f>
      </c>
      <c r="F27" s="3">
        <v>0.00928</v>
      </c>
      <c r="G27" s="3">
        <v>0.00059</v>
      </c>
      <c r="H27" s="3">
        <v>0.012409</v>
      </c>
      <c r="I27" s="3">
        <f>v_disc^(D27)</f>
      </c>
      <c r="J27" s="3">
        <f>v_disc^(D27+0.5)</f>
      </c>
      <c r="K27" s="2">
        <f>MIN(1,((F27+G27)-((F27*G27)/2)))</f>
      </c>
      <c r="L27" s="2">
        <f>(L26*(1-K26))</f>
      </c>
      <c r="M27" s="2">
        <f>(L27*I27)</f>
      </c>
      <c r="N27" s="2">
        <f>SUM(M27:M74)</f>
      </c>
      <c r="O27" s="2">
        <f>(1-((1-G27)*(1-H27)))</f>
      </c>
      <c r="P27" s="2">
        <f>MIN(1,((F27+O27)-((F27*O27)/2)))</f>
      </c>
      <c r="Q27" s="2">
        <f>(Q26*(1-P26))</f>
      </c>
      <c r="R27" s="2">
        <f>(Q27*I27)</f>
      </c>
      <c r="S27" s="2">
        <f>SUM(R27:R74)</f>
      </c>
      <c r="T27" s="2">
        <f>L27</f>
      </c>
      <c r="U27" s="2">
        <f>(L27*K27)</f>
      </c>
      <c r="V27" s="2">
        <f>M27</f>
      </c>
      <c r="W27" s="2">
        <f>R27</f>
      </c>
      <c r="X27" s="2">
        <f>N27</f>
      </c>
      <c r="Y27" s="2">
        <f>S27</f>
      </c>
      <c r="Z27" s="2">
        <f>1</f>
      </c>
      <c r="AA27" s="2">
        <f>((L27*K27)*J27)</f>
      </c>
      <c r="AB27" s="2">
        <f>SUMPRODUCT(Z27:Z73,AA27:AA73)</f>
      </c>
      <c r="AC27" s="2">
        <f>IF(V27=0,0,((AB27+(betaPrime*(X27-X74)))-(($BP$18*(Y27-Y23))*(D27&lt;=$BP$4)))/V27)</f>
      </c>
      <c r="AD27" s="4">
        <f>ROUND((AC27*100000),0)</f>
      </c>
      <c r="AE27" s="3">
        <v>0.5542227081380872</v>
      </c>
      <c r="AF27" s="2">
        <f>MAX(AC27,AE27)</f>
      </c>
      <c r="AG27" s="2">
        <f>(($BP$19*MAX((MIN($BP$4,7)-D27),0))/MIN($BP$4,7))</f>
      </c>
      <c r="AH27" s="2">
        <f>MAX((AC27-AG27),0)</f>
      </c>
      <c r="AI27" s="2">
        <f>AH27</f>
      </c>
      <c r="AJ27" s="2">
        <f>((MIN(D27,$BP$4)*k_freq)*$BP$14)</f>
      </c>
      <c r="AK27" s="2">
        <f>IF(AJ27=0,0,AI27/AJ27)</f>
      </c>
      <c r="AM27" s="2">
        <f>MIN(1,((F27+H27)-((F27*H27)/2)))</f>
      </c>
      <c r="AN27" s="2">
        <f>(AN26*(1-AM26))</f>
      </c>
      <c r="AO27" s="2">
        <f>(AN27*I27)</f>
      </c>
      <c r="AP27" s="2">
        <f>SUM(AO27:AO63)</f>
      </c>
      <c r="AQ27" s="2">
        <f>(1-((1-G27)*(1-H27)))</f>
      </c>
      <c r="AR27" s="2">
        <f>MIN(1,((F27+AQ27)-((F27*AQ27)/2)))</f>
      </c>
      <c r="AS27" s="2">
        <f>(AS26*(1-AR26))</f>
      </c>
      <c r="AT27" s="2">
        <f>(AS27*I27)</f>
      </c>
      <c r="AU27" s="2">
        <f>SUM(AT27:AT63)</f>
      </c>
      <c r="AV27" s="2">
        <f>AN27</f>
      </c>
      <c r="AW27" s="2">
        <f>(AN27*H27)</f>
      </c>
      <c r="AX27" s="2">
        <f>AO27</f>
      </c>
      <c r="AY27" s="2">
        <f>AT27</f>
      </c>
      <c r="AZ27" s="2">
        <f>AP27</f>
      </c>
      <c r="BA27" s="2">
        <f>AU27</f>
      </c>
      <c r="BB27" s="2">
        <f>(1*IF((D27=0),(1-(3/12)),1))</f>
      </c>
      <c r="BC27" s="2">
        <f>((AN27*H27)*J27)</f>
      </c>
      <c r="BD27" s="2">
        <f>SUMPRODUCT(BB27:BB62,BC27:BC62)</f>
      </c>
      <c r="BE27" s="2">
        <f>IF(AX27=0,0,((BD27+(betaPrime*(AZ27-AZ63)))-(($BQ$18*(BA27-BA23))*(D27&lt;=$BQ$4)))/AX27)</f>
      </c>
      <c r="BF27" s="4">
        <f>ROUND((BE27*100000),0)</f>
      </c>
      <c r="BG27" s="3">
        <v>0.29123661544449386</v>
      </c>
      <c r="BH27" s="2">
        <f>MAX(BE27,BG27)</f>
      </c>
      <c r="BI27" s="2">
        <f>(($BQ$19*MAX((MIN($BQ$4,7)-D27),0))/MIN($BQ$4,7))</f>
      </c>
      <c r="BJ27" s="2">
        <f>MAX((BE27-BI27),0)</f>
      </c>
      <c r="BK27" s="2">
        <f>BJ27</f>
      </c>
      <c r="BL27" s="2">
        <f>((MIN(D27,$BQ$4)*k_freq)*$BQ$14)</f>
      </c>
      <c r="BM27" s="2">
        <f>IF(BL27=0,0,BK27/BL27)</f>
      </c>
    </row>
    <row r="28">
      <c r="D28" s="1">
        <v>25</v>
      </c>
      <c r="E28" s="1">
        <f>x_age+D28</f>
      </c>
      <c r="F28" s="3">
        <v>0.01015</v>
      </c>
      <c r="G28" s="3">
        <v>0.000629</v>
      </c>
      <c r="H28" s="3">
        <v>0.013401</v>
      </c>
      <c r="I28" s="3">
        <f>v_disc^(D28)</f>
      </c>
      <c r="J28" s="3">
        <f>v_disc^(D28+0.5)</f>
      </c>
      <c r="K28" s="2">
        <f>MIN(1,((F28+G28)-((F28*G28)/2)))</f>
      </c>
      <c r="L28" s="2">
        <f>(L27*(1-K27))</f>
      </c>
      <c r="M28" s="2">
        <f>(L28*I28)</f>
      </c>
      <c r="N28" s="2">
        <f>SUM(M28:M74)</f>
      </c>
      <c r="O28" s="2">
        <f>(1-((1-G28)*(1-H28)))</f>
      </c>
      <c r="P28" s="2">
        <f>MIN(1,((F28+O28)-((F28*O28)/2)))</f>
      </c>
      <c r="Q28" s="2">
        <f>(Q27*(1-P27))</f>
      </c>
      <c r="R28" s="2">
        <f>(Q28*I28)</f>
      </c>
      <c r="S28" s="2">
        <f>SUM(R28:R74)</f>
      </c>
      <c r="T28" s="2">
        <f>L28</f>
      </c>
      <c r="U28" s="2">
        <f>(L28*K28)</f>
      </c>
      <c r="V28" s="2">
        <f>M28</f>
      </c>
      <c r="W28" s="2">
        <f>R28</f>
      </c>
      <c r="X28" s="2">
        <f>N28</f>
      </c>
      <c r="Y28" s="2">
        <f>S28</f>
      </c>
      <c r="Z28" s="2">
        <f>1</f>
      </c>
      <c r="AA28" s="2">
        <f>((L28*K28)*J28)</f>
      </c>
      <c r="AB28" s="2">
        <f>SUMPRODUCT(Z28:Z73,AA28:AA73)</f>
      </c>
      <c r="AC28" s="2">
        <f>IF(V28=0,0,((AB28+(betaPrime*(X28-X74)))-(($BP$18*(Y28-Y23))*(D28&lt;=$BP$4)))/V28)</f>
      </c>
      <c r="AD28" s="4">
        <f>ROUND((AC28*100000),0)</f>
      </c>
      <c r="AE28" s="3">
        <v>0.5667685770455291</v>
      </c>
      <c r="AF28" s="2">
        <f>MAX(AC28,AE28)</f>
      </c>
      <c r="AG28" s="2">
        <f>(($BP$19*MAX((MIN($BP$4,7)-D28),0))/MIN($BP$4,7))</f>
      </c>
      <c r="AH28" s="2">
        <f>MAX((AC28-AG28),0)</f>
      </c>
      <c r="AI28" s="2">
        <f>AH28</f>
      </c>
      <c r="AJ28" s="2">
        <f>((MIN(D28,$BP$4)*k_freq)*$BP$14)</f>
      </c>
      <c r="AK28" s="2">
        <f>IF(AJ28=0,0,AI28/AJ28)</f>
      </c>
      <c r="AM28" s="2">
        <f>MIN(1,((F28+H28)-((F28*H28)/2)))</f>
      </c>
      <c r="AN28" s="2">
        <f>(AN27*(1-AM27))</f>
      </c>
      <c r="AO28" s="2">
        <f>(AN28*I28)</f>
      </c>
      <c r="AP28" s="2">
        <f>SUM(AO28:AO63)</f>
      </c>
      <c r="AQ28" s="2">
        <f>(1-((1-G28)*(1-H28)))</f>
      </c>
      <c r="AR28" s="2">
        <f>MIN(1,((F28+AQ28)-((F28*AQ28)/2)))</f>
      </c>
      <c r="AS28" s="2">
        <f>(AS27*(1-AR27))</f>
      </c>
      <c r="AT28" s="2">
        <f>(AS28*I28)</f>
      </c>
      <c r="AU28" s="2">
        <f>SUM(AT28:AT63)</f>
      </c>
      <c r="AV28" s="2">
        <f>AN28</f>
      </c>
      <c r="AW28" s="2">
        <f>(AN28*H28)</f>
      </c>
      <c r="AX28" s="2">
        <f>AO28</f>
      </c>
      <c r="AY28" s="2">
        <f>AT28</f>
      </c>
      <c r="AZ28" s="2">
        <f>AP28</f>
      </c>
      <c r="BA28" s="2">
        <f>AU28</f>
      </c>
      <c r="BB28" s="2">
        <f>(1*IF((D28=0),(1-(3/12)),1))</f>
      </c>
      <c r="BC28" s="2">
        <f>((AN28*H28)*J28)</f>
      </c>
      <c r="BD28" s="2">
        <f>SUMPRODUCT(BB28:BB62,BC28:BC62)</f>
      </c>
      <c r="BE28" s="2">
        <f>IF(AX28=0,0,((BD28+(betaPrime*(AZ28-AZ63)))-(($BQ$18*(BA28-BA23))*(D28&lt;=$BQ$4)))/AX28)</f>
      </c>
      <c r="BF28" s="4">
        <f>ROUND((BE28*100000),0)</f>
      </c>
      <c r="BG28" s="3">
        <v>0.29340708399959864</v>
      </c>
      <c r="BH28" s="2">
        <f>MAX(BE28,BG28)</f>
      </c>
      <c r="BI28" s="2">
        <f>(($BQ$19*MAX((MIN($BQ$4,7)-D28),0))/MIN($BQ$4,7))</f>
      </c>
      <c r="BJ28" s="2">
        <f>MAX((BE28-BI28),0)</f>
      </c>
      <c r="BK28" s="2">
        <f>BJ28</f>
      </c>
      <c r="BL28" s="2">
        <f>((MIN(D28,$BQ$4)*k_freq)*$BQ$14)</f>
      </c>
      <c r="BM28" s="2">
        <f>IF(BL28=0,0,BK28/BL28)</f>
      </c>
    </row>
    <row r="29">
      <c r="D29" s="1">
        <v>26</v>
      </c>
      <c r="E29" s="1">
        <f>x_age+D29</f>
      </c>
      <c r="F29" s="3">
        <v>0.01116</v>
      </c>
      <c r="G29" s="3">
        <v>0.000681</v>
      </c>
      <c r="H29" s="3">
        <v>0.014453</v>
      </c>
      <c r="I29" s="3">
        <f>v_disc^(D29)</f>
      </c>
      <c r="J29" s="3">
        <f>v_disc^(D29+0.5)</f>
      </c>
      <c r="K29" s="2">
        <f>MIN(1,((F29+G29)-((F29*G29)/2)))</f>
      </c>
      <c r="L29" s="2">
        <f>(L28*(1-K28))</f>
      </c>
      <c r="M29" s="2">
        <f>(L29*I29)</f>
      </c>
      <c r="N29" s="2">
        <f>SUM(M29:M74)</f>
      </c>
      <c r="O29" s="2">
        <f>(1-((1-G29)*(1-H29)))</f>
      </c>
      <c r="P29" s="2">
        <f>MIN(1,((F29+O29)-((F29*O29)/2)))</f>
      </c>
      <c r="Q29" s="2">
        <f>(Q28*(1-P28))</f>
      </c>
      <c r="R29" s="2">
        <f>(Q29*I29)</f>
      </c>
      <c r="S29" s="2">
        <f>SUM(R29:R74)</f>
      </c>
      <c r="T29" s="2">
        <f>L29</f>
      </c>
      <c r="U29" s="2">
        <f>(L29*K29)</f>
      </c>
      <c r="V29" s="2">
        <f>M29</f>
      </c>
      <c r="W29" s="2">
        <f>R29</f>
      </c>
      <c r="X29" s="2">
        <f>N29</f>
      </c>
      <c r="Y29" s="2">
        <f>S29</f>
      </c>
      <c r="Z29" s="2">
        <f>1</f>
      </c>
      <c r="AA29" s="2">
        <f>((L29*K29)*J29)</f>
      </c>
      <c r="AB29" s="2">
        <f>SUMPRODUCT(Z29:Z73,AA29:AA73)</f>
      </c>
      <c r="AC29" s="2">
        <f>IF(V29=0,0,((AB29+(betaPrime*(X29-X74)))-(($BP$18*(Y29-Y23))*(D29&lt;=$BP$4)))/V29)</f>
      </c>
      <c r="AD29" s="4">
        <f>ROUND((AC29*100000),0)</f>
      </c>
      <c r="AE29" s="3">
        <v>0.5794505893755301</v>
      </c>
      <c r="AF29" s="2">
        <f>MAX(AC29,AE29)</f>
      </c>
      <c r="AG29" s="2">
        <f>(($BP$19*MAX((MIN($BP$4,7)-D29),0))/MIN($BP$4,7))</f>
      </c>
      <c r="AH29" s="2">
        <f>MAX((AC29-AG29),0)</f>
      </c>
      <c r="AI29" s="2">
        <f>AH29</f>
      </c>
      <c r="AJ29" s="2">
        <f>((MIN(D29,$BP$4)*k_freq)*$BP$14)</f>
      </c>
      <c r="AK29" s="2">
        <f>IF(AJ29=0,0,AI29/AJ29)</f>
      </c>
      <c r="AM29" s="2">
        <f>MIN(1,((F29+H29)-((F29*H29)/2)))</f>
      </c>
      <c r="AN29" s="2">
        <f>(AN28*(1-AM28))</f>
      </c>
      <c r="AO29" s="2">
        <f>(AN29*I29)</f>
      </c>
      <c r="AP29" s="2">
        <f>SUM(AO29:AO63)</f>
      </c>
      <c r="AQ29" s="2">
        <f>(1-((1-G29)*(1-H29)))</f>
      </c>
      <c r="AR29" s="2">
        <f>MIN(1,((F29+AQ29)-((F29*AQ29)/2)))</f>
      </c>
      <c r="AS29" s="2">
        <f>(AS28*(1-AR28))</f>
      </c>
      <c r="AT29" s="2">
        <f>(AS29*I29)</f>
      </c>
      <c r="AU29" s="2">
        <f>SUM(AT29:AT63)</f>
      </c>
      <c r="AV29" s="2">
        <f>AN29</f>
      </c>
      <c r="AW29" s="2">
        <f>(AN29*H29)</f>
      </c>
      <c r="AX29" s="2">
        <f>AO29</f>
      </c>
      <c r="AY29" s="2">
        <f>AT29</f>
      </c>
      <c r="AZ29" s="2">
        <f>AP29</f>
      </c>
      <c r="BA29" s="2">
        <f>AU29</f>
      </c>
      <c r="BB29" s="2">
        <f>(1*IF((D29=0),(1-(3/12)),1))</f>
      </c>
      <c r="BC29" s="2">
        <f>((AN29*H29)*J29)</f>
      </c>
      <c r="BD29" s="2">
        <f>SUMPRODUCT(BB29:BB62,BC29:BC62)</f>
      </c>
      <c r="BE29" s="2">
        <f>IF(AX29=0,0,((BD29+(betaPrime*(AZ29-AZ63)))-(($BQ$18*(BA29-BA23))*(D29&lt;=$BQ$4)))/AX29)</f>
      </c>
      <c r="BF29" s="4">
        <f>ROUND((BE29*100000),0)</f>
      </c>
      <c r="BG29" s="3">
        <v>0.2952260802167982</v>
      </c>
      <c r="BH29" s="2">
        <f>MAX(BE29,BG29)</f>
      </c>
      <c r="BI29" s="2">
        <f>(($BQ$19*MAX((MIN($BQ$4,7)-D29),0))/MIN($BQ$4,7))</f>
      </c>
      <c r="BJ29" s="2">
        <f>MAX((BE29-BI29),0)</f>
      </c>
      <c r="BK29" s="2">
        <f>BJ29</f>
      </c>
      <c r="BL29" s="2">
        <f>((MIN(D29,$BQ$4)*k_freq)*$BQ$14)</f>
      </c>
      <c r="BM29" s="2">
        <f>IF(BL29=0,0,BK29/BL29)</f>
      </c>
    </row>
    <row r="30">
      <c r="D30" s="1">
        <v>27</v>
      </c>
      <c r="E30" s="1">
        <f>x_age+D30</f>
      </c>
      <c r="F30" s="3">
        <v>0.0124</v>
      </c>
      <c r="G30" s="3">
        <v>0.00074</v>
      </c>
      <c r="H30" s="3">
        <v>0.015585</v>
      </c>
      <c r="I30" s="3">
        <f>v_disc^(D30)</f>
      </c>
      <c r="J30" s="3">
        <f>v_disc^(D30+0.5)</f>
      </c>
      <c r="K30" s="2">
        <f>MIN(1,((F30+G30)-((F30*G30)/2)))</f>
      </c>
      <c r="L30" s="2">
        <f>(L29*(1-K29))</f>
      </c>
      <c r="M30" s="2">
        <f>(L30*I30)</f>
      </c>
      <c r="N30" s="2">
        <f>SUM(M30:M74)</f>
      </c>
      <c r="O30" s="2">
        <f>(1-((1-G30)*(1-H30)))</f>
      </c>
      <c r="P30" s="2">
        <f>MIN(1,((F30+O30)-((F30*O30)/2)))</f>
      </c>
      <c r="Q30" s="2">
        <f>(Q29*(1-P29))</f>
      </c>
      <c r="R30" s="2">
        <f>(Q30*I30)</f>
      </c>
      <c r="S30" s="2">
        <f>SUM(R30:R74)</f>
      </c>
      <c r="T30" s="2">
        <f>L30</f>
      </c>
      <c r="U30" s="2">
        <f>(L30*K30)</f>
      </c>
      <c r="V30" s="2">
        <f>M30</f>
      </c>
      <c r="W30" s="2">
        <f>R30</f>
      </c>
      <c r="X30" s="2">
        <f>N30</f>
      </c>
      <c r="Y30" s="2">
        <f>S30</f>
      </c>
      <c r="Z30" s="2">
        <f>1</f>
      </c>
      <c r="AA30" s="2">
        <f>((L30*K30)*J30)</f>
      </c>
      <c r="AB30" s="2">
        <f>SUMPRODUCT(Z30:Z73,AA30:AA73)</f>
      </c>
      <c r="AC30" s="2">
        <f>IF(V30=0,0,((AB30+(betaPrime*(X30-X74)))-(($BP$18*(Y30-Y23))*(D30&lt;=$BP$4)))/V30)</f>
      </c>
      <c r="AD30" s="4">
        <f>ROUND((AC30*100000),0)</f>
      </c>
      <c r="AE30" s="3">
        <v>0.5922325926554611</v>
      </c>
      <c r="AF30" s="2">
        <f>MAX(AC30,AE30)</f>
      </c>
      <c r="AG30" s="2">
        <f>(($BP$19*MAX((MIN($BP$4,7)-D30),0))/MIN($BP$4,7))</f>
      </c>
      <c r="AH30" s="2">
        <f>MAX((AC30-AG30),0)</f>
      </c>
      <c r="AI30" s="2">
        <f>AH30</f>
      </c>
      <c r="AJ30" s="2">
        <f>((MIN(D30,$BP$4)*k_freq)*$BP$14)</f>
      </c>
      <c r="AK30" s="2">
        <f>IF(AJ30=0,0,AI30/AJ30)</f>
      </c>
      <c r="AM30" s="2">
        <f>MIN(1,((F30+H30)-((F30*H30)/2)))</f>
      </c>
      <c r="AN30" s="2">
        <f>(AN29*(1-AM29))</f>
      </c>
      <c r="AO30" s="2">
        <f>(AN30*I30)</f>
      </c>
      <c r="AP30" s="2">
        <f>SUM(AO30:AO63)</f>
      </c>
      <c r="AQ30" s="2">
        <f>(1-((1-G30)*(1-H30)))</f>
      </c>
      <c r="AR30" s="2">
        <f>MIN(1,((F30+AQ30)-((F30*AQ30)/2)))</f>
      </c>
      <c r="AS30" s="2">
        <f>(AS29*(1-AR29))</f>
      </c>
      <c r="AT30" s="2">
        <f>(AS30*I30)</f>
      </c>
      <c r="AU30" s="2">
        <f>SUM(AT30:AT63)</f>
      </c>
      <c r="AV30" s="2">
        <f>AN30</f>
      </c>
      <c r="AW30" s="2">
        <f>(AN30*H30)</f>
      </c>
      <c r="AX30" s="2">
        <f>AO30</f>
      </c>
      <c r="AY30" s="2">
        <f>AT30</f>
      </c>
      <c r="AZ30" s="2">
        <f>AP30</f>
      </c>
      <c r="BA30" s="2">
        <f>AU30</f>
      </c>
      <c r="BB30" s="2">
        <f>(1*IF((D30=0),(1-(3/12)),1))</f>
      </c>
      <c r="BC30" s="2">
        <f>((AN30*H30)*J30)</f>
      </c>
      <c r="BD30" s="2">
        <f>SUMPRODUCT(BB30:BB62,BC30:BC62)</f>
      </c>
      <c r="BE30" s="2">
        <f>IF(AX30=0,0,((BD30+(betaPrime*(AZ30-AZ63)))-(($BQ$18*(BA30-BA23))*(D30&lt;=$BQ$4)))/AX30)</f>
      </c>
      <c r="BF30" s="4">
        <f>ROUND((BE30*100000),0)</f>
      </c>
      <c r="BG30" s="3">
        <v>0.29667731412002085</v>
      </c>
      <c r="BH30" s="2">
        <f>MAX(BE30,BG30)</f>
      </c>
      <c r="BI30" s="2">
        <f>(($BQ$19*MAX((MIN($BQ$4,7)-D30),0))/MIN($BQ$4,7))</f>
      </c>
      <c r="BJ30" s="2">
        <f>MAX((BE30-BI30),0)</f>
      </c>
      <c r="BK30" s="2">
        <f>BJ30</f>
      </c>
      <c r="BL30" s="2">
        <f>((MIN(D30,$BQ$4)*k_freq)*$BQ$14)</f>
      </c>
      <c r="BM30" s="2">
        <f>IF(BL30=0,0,BK30/BL30)</f>
      </c>
    </row>
    <row r="31">
      <c r="D31" s="1">
        <v>28</v>
      </c>
      <c r="E31" s="1">
        <f>x_age+D31</f>
      </c>
      <c r="F31" s="3">
        <v>0.01391</v>
      </c>
      <c r="G31" s="3">
        <v>0.000805</v>
      </c>
      <c r="H31" s="3">
        <v>0.016808</v>
      </c>
      <c r="I31" s="3">
        <f>v_disc^(D31)</f>
      </c>
      <c r="J31" s="3">
        <f>v_disc^(D31+0.5)</f>
      </c>
      <c r="K31" s="2">
        <f>MIN(1,((F31+G31)-((F31*G31)/2)))</f>
      </c>
      <c r="L31" s="2">
        <f>(L30*(1-K30))</f>
      </c>
      <c r="M31" s="2">
        <f>(L31*I31)</f>
      </c>
      <c r="N31" s="2">
        <f>SUM(M31:M74)</f>
      </c>
      <c r="O31" s="2">
        <f>(1-((1-G31)*(1-H31)))</f>
      </c>
      <c r="P31" s="2">
        <f>MIN(1,((F31+O31)-((F31*O31)/2)))</f>
      </c>
      <c r="Q31" s="2">
        <f>(Q30*(1-P30))</f>
      </c>
      <c r="R31" s="2">
        <f>(Q31*I31)</f>
      </c>
      <c r="S31" s="2">
        <f>SUM(R31:R74)</f>
      </c>
      <c r="T31" s="2">
        <f>L31</f>
      </c>
      <c r="U31" s="2">
        <f>(L31*K31)</f>
      </c>
      <c r="V31" s="2">
        <f>M31</f>
      </c>
      <c r="W31" s="2">
        <f>R31</f>
      </c>
      <c r="X31" s="2">
        <f>N31</f>
      </c>
      <c r="Y31" s="2">
        <f>S31</f>
      </c>
      <c r="Z31" s="2">
        <f>1</f>
      </c>
      <c r="AA31" s="2">
        <f>((L31*K31)*J31)</f>
      </c>
      <c r="AB31" s="2">
        <f>SUMPRODUCT(Z31:Z73,AA31:AA73)</f>
      </c>
      <c r="AC31" s="2">
        <f>IF(V31=0,0,((AB31+(betaPrime*(X31-X74)))-(($BP$18*(Y31-Y23))*(D31&lt;=$BP$4)))/V31)</f>
      </c>
      <c r="AD31" s="4">
        <f>ROUND((AC31*100000),0)</f>
      </c>
      <c r="AE31" s="3">
        <v>0.6050480515714239</v>
      </c>
      <c r="AF31" s="2">
        <f>MAX(AC31,AE31)</f>
      </c>
      <c r="AG31" s="2">
        <f>(($BP$19*MAX((MIN($BP$4,7)-D31),0))/MIN($BP$4,7))</f>
      </c>
      <c r="AH31" s="2">
        <f>MAX((AC31-AG31),0)</f>
      </c>
      <c r="AI31" s="2">
        <f>AH31</f>
      </c>
      <c r="AJ31" s="2">
        <f>((MIN(D31,$BP$4)*k_freq)*$BP$14)</f>
      </c>
      <c r="AK31" s="2">
        <f>IF(AJ31=0,0,AI31/AJ31)</f>
      </c>
      <c r="AM31" s="2">
        <f>MIN(1,((F31+H31)-((F31*H31)/2)))</f>
      </c>
      <c r="AN31" s="2">
        <f>(AN30*(1-AM30))</f>
      </c>
      <c r="AO31" s="2">
        <f>(AN31*I31)</f>
      </c>
      <c r="AP31" s="2">
        <f>SUM(AO31:AO63)</f>
      </c>
      <c r="AQ31" s="2">
        <f>(1-((1-G31)*(1-H31)))</f>
      </c>
      <c r="AR31" s="2">
        <f>MIN(1,((F31+AQ31)-((F31*AQ31)/2)))</f>
      </c>
      <c r="AS31" s="2">
        <f>(AS30*(1-AR30))</f>
      </c>
      <c r="AT31" s="2">
        <f>(AS31*I31)</f>
      </c>
      <c r="AU31" s="2">
        <f>SUM(AT31:AT63)</f>
      </c>
      <c r="AV31" s="2">
        <f>AN31</f>
      </c>
      <c r="AW31" s="2">
        <f>(AN31*H31)</f>
      </c>
      <c r="AX31" s="2">
        <f>AO31</f>
      </c>
      <c r="AY31" s="2">
        <f>AT31</f>
      </c>
      <c r="AZ31" s="2">
        <f>AP31</f>
      </c>
      <c r="BA31" s="2">
        <f>AU31</f>
      </c>
      <c r="BB31" s="2">
        <f>(1*IF((D31=0),(1-(3/12)),1))</f>
      </c>
      <c r="BC31" s="2">
        <f>((AN31*H31)*J31)</f>
      </c>
      <c r="BD31" s="2">
        <f>SUMPRODUCT(BB31:BB62,BC31:BC62)</f>
      </c>
      <c r="BE31" s="2">
        <f>IF(AX31=0,0,((BD31+(betaPrime*(AZ31-AZ63)))-(($BQ$18*(BA31-BA23))*(D31&lt;=$BQ$4)))/AX31)</f>
      </c>
      <c r="BF31" s="4">
        <f>ROUND((BE31*100000),0)</f>
      </c>
      <c r="BG31" s="3">
        <v>0.29775448361377643</v>
      </c>
      <c r="BH31" s="2">
        <f>MAX(BE31,BG31)</f>
      </c>
      <c r="BI31" s="2">
        <f>(($BQ$19*MAX((MIN($BQ$4,7)-D31),0))/MIN($BQ$4,7))</f>
      </c>
      <c r="BJ31" s="2">
        <f>MAX((BE31-BI31),0)</f>
      </c>
      <c r="BK31" s="2">
        <f>BJ31</f>
      </c>
      <c r="BL31" s="2">
        <f>((MIN(D31,$BQ$4)*k_freq)*$BQ$14)</f>
      </c>
      <c r="BM31" s="2">
        <f>IF(BL31=0,0,BK31/BL31)</f>
      </c>
    </row>
    <row r="32">
      <c r="D32" s="1">
        <v>29</v>
      </c>
      <c r="E32" s="1">
        <f>x_age+D32</f>
      </c>
      <c r="F32" s="3">
        <v>0.01565</v>
      </c>
      <c r="G32" s="3">
        <v>0.00087</v>
      </c>
      <c r="H32" s="3">
        <v>0.018115</v>
      </c>
      <c r="I32" s="3">
        <f>v_disc^(D32)</f>
      </c>
      <c r="J32" s="3">
        <f>v_disc^(D32+0.5)</f>
      </c>
      <c r="K32" s="2">
        <f>MIN(1,((F32+G32)-((F32*G32)/2)))</f>
      </c>
      <c r="L32" s="2">
        <f>(L31*(1-K31))</f>
      </c>
      <c r="M32" s="2">
        <f>(L32*I32)</f>
      </c>
      <c r="N32" s="2">
        <f>SUM(M32:M74)</f>
      </c>
      <c r="O32" s="2">
        <f>(1-((1-G32)*(1-H32)))</f>
      </c>
      <c r="P32" s="2">
        <f>MIN(1,((F32+O32)-((F32*O32)/2)))</f>
      </c>
      <c r="Q32" s="2">
        <f>(Q31*(1-P31))</f>
      </c>
      <c r="R32" s="2">
        <f>(Q32*I32)</f>
      </c>
      <c r="S32" s="2">
        <f>SUM(R32:R74)</f>
      </c>
      <c r="T32" s="2">
        <f>L32</f>
      </c>
      <c r="U32" s="2">
        <f>(L32*K32)</f>
      </c>
      <c r="V32" s="2">
        <f>M32</f>
      </c>
      <c r="W32" s="2">
        <f>R32</f>
      </c>
      <c r="X32" s="2">
        <f>N32</f>
      </c>
      <c r="Y32" s="2">
        <f>S32</f>
      </c>
      <c r="Z32" s="2">
        <f>1</f>
      </c>
      <c r="AA32" s="2">
        <f>((L32*K32)*J32)</f>
      </c>
      <c r="AB32" s="2">
        <f>SUMPRODUCT(Z32:Z73,AA32:AA73)</f>
      </c>
      <c r="AC32" s="2">
        <f>IF(V32=0,0,((AB32+(betaPrime*(X32-X74)))-(($BP$18*(Y32-Y23))*(D32&lt;=$BP$4)))/V32)</f>
      </c>
      <c r="AD32" s="4">
        <f>ROUND((AC32*100000),0)</f>
      </c>
      <c r="AE32" s="3">
        <v>0.6178208704901096</v>
      </c>
      <c r="AF32" s="2">
        <f>MAX(AC32,AE32)</f>
      </c>
      <c r="AG32" s="2">
        <f>(($BP$19*MAX((MIN($BP$4,7)-D32),0))/MIN($BP$4,7))</f>
      </c>
      <c r="AH32" s="2">
        <f>MAX((AC32-AG32),0)</f>
      </c>
      <c r="AI32" s="2">
        <f>AH32</f>
      </c>
      <c r="AJ32" s="2">
        <f>((MIN(D32,$BP$4)*k_freq)*$BP$14)</f>
      </c>
      <c r="AK32" s="2">
        <f>IF(AJ32=0,0,AI32/AJ32)</f>
      </c>
      <c r="AM32" s="2">
        <f>MIN(1,((F32+H32)-((F32*H32)/2)))</f>
      </c>
      <c r="AN32" s="2">
        <f>(AN31*(1-AM31))</f>
      </c>
      <c r="AO32" s="2">
        <f>(AN32*I32)</f>
      </c>
      <c r="AP32" s="2">
        <f>SUM(AO32:AO63)</f>
      </c>
      <c r="AQ32" s="2">
        <f>(1-((1-G32)*(1-H32)))</f>
      </c>
      <c r="AR32" s="2">
        <f>MIN(1,((F32+AQ32)-((F32*AQ32)/2)))</f>
      </c>
      <c r="AS32" s="2">
        <f>(AS31*(1-AR31))</f>
      </c>
      <c r="AT32" s="2">
        <f>(AS32*I32)</f>
      </c>
      <c r="AU32" s="2">
        <f>SUM(AT32:AT63)</f>
      </c>
      <c r="AV32" s="2">
        <f>AN32</f>
      </c>
      <c r="AW32" s="2">
        <f>(AN32*H32)</f>
      </c>
      <c r="AX32" s="2">
        <f>AO32</f>
      </c>
      <c r="AY32" s="2">
        <f>AT32</f>
      </c>
      <c r="AZ32" s="2">
        <f>AP32</f>
      </c>
      <c r="BA32" s="2">
        <f>AU32</f>
      </c>
      <c r="BB32" s="2">
        <f>(1*IF((D32=0),(1-(3/12)),1))</f>
      </c>
      <c r="BC32" s="2">
        <f>((AN32*H32)*J32)</f>
      </c>
      <c r="BD32" s="2">
        <f>SUMPRODUCT(BB32:BB62,BC32:BC62)</f>
      </c>
      <c r="BE32" s="2">
        <f>IF(AX32=0,0,((BD32+(betaPrime*(AZ32-AZ63)))-(($BQ$18*(BA32-BA23))*(D32&lt;=$BQ$4)))/AX32)</f>
      </c>
      <c r="BF32" s="4">
        <f>ROUND((BE32*100000),0)</f>
      </c>
      <c r="BG32" s="3">
        <v>0.29845304989974375</v>
      </c>
      <c r="BH32" s="2">
        <f>MAX(BE32,BG32)</f>
      </c>
      <c r="BI32" s="2">
        <f>(($BQ$19*MAX((MIN($BQ$4,7)-D32),0))/MIN($BQ$4,7))</f>
      </c>
      <c r="BJ32" s="2">
        <f>MAX((BE32-BI32),0)</f>
      </c>
      <c r="BK32" s="2">
        <f>BJ32</f>
      </c>
      <c r="BL32" s="2">
        <f>((MIN(D32,$BQ$4)*k_freq)*$BQ$14)</f>
      </c>
      <c r="BM32" s="2">
        <f>IF(BL32=0,0,BK32/BL32)</f>
      </c>
    </row>
    <row r="33">
      <c r="D33" s="1">
        <v>30</v>
      </c>
      <c r="E33" s="1">
        <f>x_age+D33</f>
      </c>
      <c r="F33" s="3">
        <v>0.01751</v>
      </c>
      <c r="G33" s="3">
        <v>0.001048</v>
      </c>
      <c r="H33" s="3">
        <v>0.019476</v>
      </c>
      <c r="I33" s="3">
        <f>v_disc^(D33)</f>
      </c>
      <c r="J33" s="3">
        <f>v_disc^(D33+0.5)</f>
      </c>
      <c r="K33" s="2">
        <f>MIN(1,((F33+G33)-((F33*G33)/2)))</f>
      </c>
      <c r="L33" s="2">
        <f>(L32*(1-K32))</f>
      </c>
      <c r="M33" s="2">
        <f>(L33*I33)</f>
      </c>
      <c r="N33" s="2">
        <f>SUM(M33:M74)</f>
      </c>
      <c r="O33" s="2">
        <f>(1-((1-G33)*(1-H33)))</f>
      </c>
      <c r="P33" s="2">
        <f>MIN(1,((F33+O33)-((F33*O33)/2)))</f>
      </c>
      <c r="Q33" s="2">
        <f>(Q32*(1-P32))</f>
      </c>
      <c r="R33" s="2">
        <f>(Q33*I33)</f>
      </c>
      <c r="S33" s="2">
        <f>SUM(R33:R74)</f>
      </c>
      <c r="T33" s="2">
        <f>L33</f>
      </c>
      <c r="U33" s="2">
        <f>(L33*K33)</f>
      </c>
      <c r="V33" s="2">
        <f>M33</f>
      </c>
      <c r="W33" s="2">
        <f>R33</f>
      </c>
      <c r="X33" s="2">
        <f>N33</f>
      </c>
      <c r="Y33" s="2">
        <f>S33</f>
      </c>
      <c r="Z33" s="2">
        <f>1</f>
      </c>
      <c r="AA33" s="2">
        <f>((L33*K33)*J33)</f>
      </c>
      <c r="AB33" s="2">
        <f>SUMPRODUCT(Z33:Z73,AA33:AA73)</f>
      </c>
      <c r="AC33" s="2">
        <f>IF(V33=0,0,((AB33+(betaPrime*(X33-X74)))-(($BP$18*(Y33-Y23))*(D33&lt;=$BP$4)))/V33)</f>
      </c>
      <c r="AD33" s="4">
        <f>ROUND((AC33*100000),0)</f>
      </c>
      <c r="AE33" s="3">
        <v>0.6304997258758395</v>
      </c>
      <c r="AF33" s="2">
        <f>MAX(AC33,AE33)</f>
      </c>
      <c r="AG33" s="2">
        <f>(($BP$19*MAX((MIN($BP$4,7)-D33),0))/MIN($BP$4,7))</f>
      </c>
      <c r="AH33" s="2">
        <f>MAX((AC33-AG33),0)</f>
      </c>
      <c r="AI33" s="2">
        <f>AH33</f>
      </c>
      <c r="AJ33" s="2">
        <f>((MIN(D33,$BP$4)*k_freq)*$BP$14)</f>
      </c>
      <c r="AK33" s="2">
        <f>IF(AJ33=0,0,AI33/AJ33)</f>
      </c>
      <c r="AM33" s="2">
        <f>MIN(1,((F33+H33)-((F33*H33)/2)))</f>
      </c>
      <c r="AN33" s="2">
        <f>(AN32*(1-AM32))</f>
      </c>
      <c r="AO33" s="2">
        <f>(AN33*I33)</f>
      </c>
      <c r="AP33" s="2">
        <f>SUM(AO33:AO63)</f>
      </c>
      <c r="AQ33" s="2">
        <f>(1-((1-G33)*(1-H33)))</f>
      </c>
      <c r="AR33" s="2">
        <f>MIN(1,((F33+AQ33)-((F33*AQ33)/2)))</f>
      </c>
      <c r="AS33" s="2">
        <f>(AS32*(1-AR32))</f>
      </c>
      <c r="AT33" s="2">
        <f>(AS33*I33)</f>
      </c>
      <c r="AU33" s="2">
        <f>SUM(AT33:AT63)</f>
      </c>
      <c r="AV33" s="2">
        <f>AN33</f>
      </c>
      <c r="AW33" s="2">
        <f>(AN33*H33)</f>
      </c>
      <c r="AX33" s="2">
        <f>AO33</f>
      </c>
      <c r="AY33" s="2">
        <f>AT33</f>
      </c>
      <c r="AZ33" s="2">
        <f>AP33</f>
      </c>
      <c r="BA33" s="2">
        <f>AU33</f>
      </c>
      <c r="BB33" s="2">
        <f>(1*IF((D33=0),(1-(3/12)),1))</f>
      </c>
      <c r="BC33" s="2">
        <f>((AN33*H33)*J33)</f>
      </c>
      <c r="BD33" s="2">
        <f>SUMPRODUCT(BB33:BB62,BC33:BC62)</f>
      </c>
      <c r="BE33" s="2">
        <f>IF(AX33=0,0,((BD33+(betaPrime*(AZ33-AZ63)))-(($BQ$18*(BA33-BA23))*(D33&lt;=$BQ$4)))/AX33)</f>
      </c>
      <c r="BF33" s="4">
        <f>ROUND((BE33*100000),0)</f>
      </c>
      <c r="BG33" s="3">
        <v>0.2987584903723932</v>
      </c>
      <c r="BH33" s="2">
        <f>MAX(BE33,BG33)</f>
      </c>
      <c r="BI33" s="2">
        <f>(($BQ$19*MAX((MIN($BQ$4,7)-D33),0))/MIN($BQ$4,7))</f>
      </c>
      <c r="BJ33" s="2">
        <f>MAX((BE33-BI33),0)</f>
      </c>
      <c r="BK33" s="2">
        <f>BJ33</f>
      </c>
      <c r="BL33" s="2">
        <f>((MIN(D33,$BQ$4)*k_freq)*$BQ$14)</f>
      </c>
      <c r="BM33" s="2">
        <f>IF(BL33=0,0,BK33/BL33)</f>
      </c>
    </row>
    <row r="34">
      <c r="D34" s="1">
        <v>31</v>
      </c>
      <c r="E34" s="1">
        <f>x_age+D34</f>
      </c>
      <c r="F34" s="3">
        <v>0.01937</v>
      </c>
      <c r="G34" s="3">
        <v>0.001111</v>
      </c>
      <c r="H34" s="3">
        <v>0.020859</v>
      </c>
      <c r="I34" s="3">
        <f>v_disc^(D34)</f>
      </c>
      <c r="J34" s="3">
        <f>v_disc^(D34+0.5)</f>
      </c>
      <c r="K34" s="2">
        <f>MIN(1,((F34+G34)-((F34*G34)/2)))</f>
      </c>
      <c r="L34" s="2">
        <f>(L33*(1-K33))</f>
      </c>
      <c r="M34" s="2">
        <f>(L34*I34)</f>
      </c>
      <c r="N34" s="2">
        <f>SUM(M34:M74)</f>
      </c>
      <c r="O34" s="2">
        <f>(1-((1-G34)*(1-H34)))</f>
      </c>
      <c r="P34" s="2">
        <f>MIN(1,((F34+O34)-((F34*O34)/2)))</f>
      </c>
      <c r="Q34" s="2">
        <f>(Q33*(1-P33))</f>
      </c>
      <c r="R34" s="2">
        <f>(Q34*I34)</f>
      </c>
      <c r="S34" s="2">
        <f>SUM(R34:R74)</f>
      </c>
      <c r="T34" s="2">
        <f>L34</f>
      </c>
      <c r="U34" s="2">
        <f>(L34*K34)</f>
      </c>
      <c r="V34" s="2">
        <f>M34</f>
      </c>
      <c r="W34" s="2">
        <f>R34</f>
      </c>
      <c r="X34" s="2">
        <f>N34</f>
      </c>
      <c r="Y34" s="2">
        <f>S34</f>
      </c>
      <c r="Z34" s="2">
        <f>1</f>
      </c>
      <c r="AA34" s="2">
        <f>((L34*K34)*J34)</f>
      </c>
      <c r="AB34" s="2">
        <f>SUMPRODUCT(Z34:Z73,AA34:AA73)</f>
      </c>
      <c r="AC34" s="2">
        <f>IF(V34=0,0,((AB34+(betaPrime*(X34-X74)))-(($BP$18*(Y34-Y23))*(D34&lt;=$BP$4)))/V34)</f>
      </c>
      <c r="AD34" s="4">
        <f>ROUND((AC34*100000),0)</f>
      </c>
      <c r="AE34" s="3">
        <v>0.6430382374022954</v>
      </c>
      <c r="AF34" s="2">
        <f>MAX(AC34,AE34)</f>
      </c>
      <c r="AG34" s="2">
        <f>(($BP$19*MAX((MIN($BP$4,7)-D34),0))/MIN($BP$4,7))</f>
      </c>
      <c r="AH34" s="2">
        <f>MAX((AC34-AG34),0)</f>
      </c>
      <c r="AI34" s="2">
        <f>AH34</f>
      </c>
      <c r="AJ34" s="2">
        <f>((MIN(D34,$BP$4)*k_freq)*$BP$14)</f>
      </c>
      <c r="AK34" s="2">
        <f>IF(AJ34=0,0,AI34/AJ34)</f>
      </c>
      <c r="AM34" s="2">
        <f>MIN(1,((F34+H34)-((F34*H34)/2)))</f>
      </c>
      <c r="AN34" s="2">
        <f>(AN33*(1-AM33))</f>
      </c>
      <c r="AO34" s="2">
        <f>(AN34*I34)</f>
      </c>
      <c r="AP34" s="2">
        <f>SUM(AO34:AO63)</f>
      </c>
      <c r="AQ34" s="2">
        <f>(1-((1-G34)*(1-H34)))</f>
      </c>
      <c r="AR34" s="2">
        <f>MIN(1,((F34+AQ34)-((F34*AQ34)/2)))</f>
      </c>
      <c r="AS34" s="2">
        <f>(AS33*(1-AR33))</f>
      </c>
      <c r="AT34" s="2">
        <f>(AS34*I34)</f>
      </c>
      <c r="AU34" s="2">
        <f>SUM(AT34:AT63)</f>
      </c>
      <c r="AV34" s="2">
        <f>AN34</f>
      </c>
      <c r="AW34" s="2">
        <f>(AN34*H34)</f>
      </c>
      <c r="AX34" s="2">
        <f>AO34</f>
      </c>
      <c r="AY34" s="2">
        <f>AT34</f>
      </c>
      <c r="AZ34" s="2">
        <f>AP34</f>
      </c>
      <c r="BA34" s="2">
        <f>AU34</f>
      </c>
      <c r="BB34" s="2">
        <f>(1*IF((D34=0),(1-(3/12)),1))</f>
      </c>
      <c r="BC34" s="2">
        <f>((AN34*H34)*J34)</f>
      </c>
      <c r="BD34" s="2">
        <f>SUMPRODUCT(BB34:BB62,BC34:BC62)</f>
      </c>
      <c r="BE34" s="2">
        <f>IF(AX34=0,0,((BD34+(betaPrime*(AZ34-AZ63)))-(($BQ$18*(BA34-BA23))*(D34&lt;=$BQ$4)))/AX34)</f>
      </c>
      <c r="BF34" s="4">
        <f>ROUND((BE34*100000),0)</f>
      </c>
      <c r="BG34" s="3">
        <v>0.298640274108408</v>
      </c>
      <c r="BH34" s="2">
        <f>MAX(BE34,BG34)</f>
      </c>
      <c r="BI34" s="2">
        <f>(($BQ$19*MAX((MIN($BQ$4,7)-D34),0))/MIN($BQ$4,7))</f>
      </c>
      <c r="BJ34" s="2">
        <f>MAX((BE34-BI34),0)</f>
      </c>
      <c r="BK34" s="2">
        <f>BJ34</f>
      </c>
      <c r="BL34" s="2">
        <f>((MIN(D34,$BQ$4)*k_freq)*$BQ$14)</f>
      </c>
      <c r="BM34" s="2">
        <f>IF(BL34=0,0,BK34/BL34)</f>
      </c>
    </row>
    <row r="35">
      <c r="D35" s="1">
        <v>32</v>
      </c>
      <c r="E35" s="1">
        <f>x_age+D35</f>
      </c>
      <c r="F35" s="3">
        <v>0.02111</v>
      </c>
      <c r="G35" s="3">
        <v>0.001175</v>
      </c>
      <c r="H35" s="3">
        <v>0.022248</v>
      </c>
      <c r="I35" s="3">
        <f>v_disc^(D35)</f>
      </c>
      <c r="J35" s="3">
        <f>v_disc^(D35+0.5)</f>
      </c>
      <c r="K35" s="2">
        <f>MIN(1,((F35+G35)-((F35*G35)/2)))</f>
      </c>
      <c r="L35" s="2">
        <f>(L34*(1-K34))</f>
      </c>
      <c r="M35" s="2">
        <f>(L35*I35)</f>
      </c>
      <c r="N35" s="2">
        <f>SUM(M35:M74)</f>
      </c>
      <c r="O35" s="2">
        <f>(1-((1-G35)*(1-H35)))</f>
      </c>
      <c r="P35" s="2">
        <f>MIN(1,((F35+O35)-((F35*O35)/2)))</f>
      </c>
      <c r="Q35" s="2">
        <f>(Q34*(1-P34))</f>
      </c>
      <c r="R35" s="2">
        <f>(Q35*I35)</f>
      </c>
      <c r="S35" s="2">
        <f>SUM(R35:R74)</f>
      </c>
      <c r="T35" s="2">
        <f>L35</f>
      </c>
      <c r="U35" s="2">
        <f>(L35*K35)</f>
      </c>
      <c r="V35" s="2">
        <f>M35</f>
      </c>
      <c r="W35" s="2">
        <f>R35</f>
      </c>
      <c r="X35" s="2">
        <f>N35</f>
      </c>
      <c r="Y35" s="2">
        <f>S35</f>
      </c>
      <c r="Z35" s="2">
        <f>1</f>
      </c>
      <c r="AA35" s="2">
        <f>((L35*K35)*J35)</f>
      </c>
      <c r="AB35" s="2">
        <f>SUMPRODUCT(Z35:Z73,AA35:AA73)</f>
      </c>
      <c r="AC35" s="2">
        <f>IF(V35=0,0,((AB35+(betaPrime*(X35-X74)))-(($BP$18*(Y35-Y23))*(D35&lt;=$BP$4)))/V35)</f>
      </c>
      <c r="AD35" s="4">
        <f>ROUND((AC35*100000),0)</f>
      </c>
      <c r="AE35" s="3">
        <v>0.6555229709356649</v>
      </c>
      <c r="AF35" s="2">
        <f>MAX(AC35,AE35)</f>
      </c>
      <c r="AG35" s="2">
        <f>(($BP$19*MAX((MIN($BP$4,7)-D35),0))/MIN($BP$4,7))</f>
      </c>
      <c r="AH35" s="2">
        <f>MAX((AC35-AG35),0)</f>
      </c>
      <c r="AI35" s="2">
        <f>AH35</f>
      </c>
      <c r="AJ35" s="2">
        <f>((MIN(D35,$BP$4)*k_freq)*$BP$14)</f>
      </c>
      <c r="AK35" s="2">
        <f>IF(AJ35=0,0,AI35/AJ35)</f>
      </c>
      <c r="AM35" s="2">
        <f>MIN(1,((F35+H35)-((F35*H35)/2)))</f>
      </c>
      <c r="AN35" s="2">
        <f>(AN34*(1-AM34))</f>
      </c>
      <c r="AO35" s="2">
        <f>(AN35*I35)</f>
      </c>
      <c r="AP35" s="2">
        <f>SUM(AO35:AO63)</f>
      </c>
      <c r="AQ35" s="2">
        <f>(1-((1-G35)*(1-H35)))</f>
      </c>
      <c r="AR35" s="2">
        <f>MIN(1,((F35+AQ35)-((F35*AQ35)/2)))</f>
      </c>
      <c r="AS35" s="2">
        <f>(AS34*(1-AR34))</f>
      </c>
      <c r="AT35" s="2">
        <f>(AS35*I35)</f>
      </c>
      <c r="AU35" s="2">
        <f>SUM(AT35:AT63)</f>
      </c>
      <c r="AV35" s="2">
        <f>AN35</f>
      </c>
      <c r="AW35" s="2">
        <f>(AN35*H35)</f>
      </c>
      <c r="AX35" s="2">
        <f>AO35</f>
      </c>
      <c r="AY35" s="2">
        <f>AT35</f>
      </c>
      <c r="AZ35" s="2">
        <f>AP35</f>
      </c>
      <c r="BA35" s="2">
        <f>AU35</f>
      </c>
      <c r="BB35" s="2">
        <f>(1*IF((D35=0),(1-(3/12)),1))</f>
      </c>
      <c r="BC35" s="2">
        <f>((AN35*H35)*J35)</f>
      </c>
      <c r="BD35" s="2">
        <f>SUMPRODUCT(BB35:BB62,BC35:BC62)</f>
      </c>
      <c r="BE35" s="2">
        <f>IF(AX35=0,0,((BD35+(betaPrime*(AZ35-AZ63)))-(($BQ$18*(BA35-BA23))*(D35&lt;=$BQ$4)))/AX35)</f>
      </c>
      <c r="BF35" s="4">
        <f>ROUND((BE35*100000),0)</f>
      </c>
      <c r="BG35" s="3">
        <v>0.2980483082918777</v>
      </c>
      <c r="BH35" s="2">
        <f>MAX(BE35,BG35)</f>
      </c>
      <c r="BI35" s="2">
        <f>(($BQ$19*MAX((MIN($BQ$4,7)-D35),0))/MIN($BQ$4,7))</f>
      </c>
      <c r="BJ35" s="2">
        <f>MAX((BE35-BI35),0)</f>
      </c>
      <c r="BK35" s="2">
        <f>BJ35</f>
      </c>
      <c r="BL35" s="2">
        <f>((MIN(D35,$BQ$4)*k_freq)*$BQ$14)</f>
      </c>
      <c r="BM35" s="2">
        <f>IF(BL35=0,0,BK35/BL35)</f>
      </c>
    </row>
    <row r="36">
      <c r="D36" s="1">
        <v>33</v>
      </c>
      <c r="E36" s="1">
        <f>x_age+D36</f>
      </c>
      <c r="F36" s="3">
        <v>0.02265</v>
      </c>
      <c r="G36" s="3">
        <v>0.001237</v>
      </c>
      <c r="H36" s="3">
        <v>0.023633</v>
      </c>
      <c r="I36" s="3">
        <f>v_disc^(D36)</f>
      </c>
      <c r="J36" s="3">
        <f>v_disc^(D36+0.5)</f>
      </c>
      <c r="K36" s="2">
        <f>MIN(1,((F36+G36)-((F36*G36)/2)))</f>
      </c>
      <c r="L36" s="2">
        <f>(L35*(1-K35))</f>
      </c>
      <c r="M36" s="2">
        <f>(L36*I36)</f>
      </c>
      <c r="N36" s="2">
        <f>SUM(M36:M74)</f>
      </c>
      <c r="O36" s="2">
        <f>(1-((1-G36)*(1-H36)))</f>
      </c>
      <c r="P36" s="2">
        <f>MIN(1,((F36+O36)-((F36*O36)/2)))</f>
      </c>
      <c r="Q36" s="2">
        <f>(Q35*(1-P35))</f>
      </c>
      <c r="R36" s="2">
        <f>(Q36*I36)</f>
      </c>
      <c r="S36" s="2">
        <f>SUM(R36:R74)</f>
      </c>
      <c r="T36" s="2">
        <f>L36</f>
      </c>
      <c r="U36" s="2">
        <f>(L36*K36)</f>
      </c>
      <c r="V36" s="2">
        <f>M36</f>
      </c>
      <c r="W36" s="2">
        <f>R36</f>
      </c>
      <c r="X36" s="2">
        <f>N36</f>
      </c>
      <c r="Y36" s="2">
        <f>S36</f>
      </c>
      <c r="Z36" s="2">
        <f>1</f>
      </c>
      <c r="AA36" s="2">
        <f>((L36*K36)*J36)</f>
      </c>
      <c r="AB36" s="2">
        <f>SUMPRODUCT(Z36:Z73,AA36:AA73)</f>
      </c>
      <c r="AC36" s="2">
        <f>IF(V36=0,0,((AB36+(betaPrime*(X36-X74)))-(($BP$18*(Y36-Y23))*(D36&lt;=$BP$4)))/V36)</f>
      </c>
      <c r="AD36" s="4">
        <f>ROUND((AC36*100000),0)</f>
      </c>
      <c r="AE36" s="3">
        <v>0.668042372877161</v>
      </c>
      <c r="AF36" s="2">
        <f>MAX(AC36,AE36)</f>
      </c>
      <c r="AG36" s="2">
        <f>(($BP$19*MAX((MIN($BP$4,7)-D36),0))/MIN($BP$4,7))</f>
      </c>
      <c r="AH36" s="2">
        <f>MAX((AC36-AG36),0)</f>
      </c>
      <c r="AI36" s="2">
        <f>AH36</f>
      </c>
      <c r="AJ36" s="2">
        <f>((MIN(D36,$BP$4)*k_freq)*$BP$14)</f>
      </c>
      <c r="AK36" s="2">
        <f>IF(AJ36=0,0,AI36/AJ36)</f>
      </c>
      <c r="AM36" s="2">
        <f>MIN(1,((F36+H36)-((F36*H36)/2)))</f>
      </c>
      <c r="AN36" s="2">
        <f>(AN35*(1-AM35))</f>
      </c>
      <c r="AO36" s="2">
        <f>(AN36*I36)</f>
      </c>
      <c r="AP36" s="2">
        <f>SUM(AO36:AO63)</f>
      </c>
      <c r="AQ36" s="2">
        <f>(1-((1-G36)*(1-H36)))</f>
      </c>
      <c r="AR36" s="2">
        <f>MIN(1,((F36+AQ36)-((F36*AQ36)/2)))</f>
      </c>
      <c r="AS36" s="2">
        <f>(AS35*(1-AR35))</f>
      </c>
      <c r="AT36" s="2">
        <f>(AS36*I36)</f>
      </c>
      <c r="AU36" s="2">
        <f>SUM(AT36:AT63)</f>
      </c>
      <c r="AV36" s="2">
        <f>AN36</f>
      </c>
      <c r="AW36" s="2">
        <f>(AN36*H36)</f>
      </c>
      <c r="AX36" s="2">
        <f>AO36</f>
      </c>
      <c r="AY36" s="2">
        <f>AT36</f>
      </c>
      <c r="AZ36" s="2">
        <f>AP36</f>
      </c>
      <c r="BA36" s="2">
        <f>AU36</f>
      </c>
      <c r="BB36" s="2">
        <f>(1*IF((D36=0),(1-(3/12)),1))</f>
      </c>
      <c r="BC36" s="2">
        <f>((AN36*H36)*J36)</f>
      </c>
      <c r="BD36" s="2">
        <f>SUMPRODUCT(BB36:BB62,BC36:BC62)</f>
      </c>
      <c r="BE36" s="2">
        <f>IF(AX36=0,0,((BD36+(betaPrime*(AZ36-AZ63)))-(($BQ$18*(BA36-BA23))*(D36&lt;=$BQ$4)))/AX36)</f>
      </c>
      <c r="BF36" s="4">
        <f>ROUND((BE36*100000),0)</f>
      </c>
      <c r="BG36" s="3">
        <v>0.2968989641624884</v>
      </c>
      <c r="BH36" s="2">
        <f>MAX(BE36,BG36)</f>
      </c>
      <c r="BI36" s="2">
        <f>(($BQ$19*MAX((MIN($BQ$4,7)-D36),0))/MIN($BQ$4,7))</f>
      </c>
      <c r="BJ36" s="2">
        <f>MAX((BE36-BI36),0)</f>
      </c>
      <c r="BK36" s="2">
        <f>BJ36</f>
      </c>
      <c r="BL36" s="2">
        <f>((MIN(D36,$BQ$4)*k_freq)*$BQ$14)</f>
      </c>
      <c r="BM36" s="2">
        <f>IF(BL36=0,0,BK36/BL36)</f>
      </c>
    </row>
    <row r="37">
      <c r="D37" s="1">
        <v>34</v>
      </c>
      <c r="E37" s="1">
        <f>x_age+D37</f>
      </c>
      <c r="F37" s="3">
        <v>0.02402</v>
      </c>
      <c r="G37" s="3">
        <v>0.001294</v>
      </c>
      <c r="H37" s="3">
        <v>0.02502</v>
      </c>
      <c r="I37" s="3">
        <f>v_disc^(D37)</f>
      </c>
      <c r="J37" s="3">
        <f>v_disc^(D37+0.5)</f>
      </c>
      <c r="K37" s="2">
        <f>MIN(1,((F37+G37)-((F37*G37)/2)))</f>
      </c>
      <c r="L37" s="2">
        <f>(L36*(1-K36))</f>
      </c>
      <c r="M37" s="2">
        <f>(L37*I37)</f>
      </c>
      <c r="N37" s="2">
        <f>SUM(M37:M74)</f>
      </c>
      <c r="O37" s="2">
        <f>(1-((1-G37)*(1-H37)))</f>
      </c>
      <c r="P37" s="2">
        <f>MIN(1,((F37+O37)-((F37*O37)/2)))</f>
      </c>
      <c r="Q37" s="2">
        <f>(Q36*(1-P36))</f>
      </c>
      <c r="R37" s="2">
        <f>(Q37*I37)</f>
      </c>
      <c r="S37" s="2">
        <f>SUM(R37:R74)</f>
      </c>
      <c r="T37" s="2">
        <f>L37</f>
      </c>
      <c r="U37" s="2">
        <f>(L37*K37)</f>
      </c>
      <c r="V37" s="2">
        <f>M37</f>
      </c>
      <c r="W37" s="2">
        <f>R37</f>
      </c>
      <c r="X37" s="2">
        <f>N37</f>
      </c>
      <c r="Y37" s="2">
        <f>S37</f>
      </c>
      <c r="Z37" s="2">
        <f>1</f>
      </c>
      <c r="AA37" s="2">
        <f>((L37*K37)*J37)</f>
      </c>
      <c r="AB37" s="2">
        <f>SUMPRODUCT(Z37:Z73,AA37:AA73)</f>
      </c>
      <c r="AC37" s="2">
        <f>IF(V37=0,0,((AB37+(betaPrime*(X37-X74)))-(($BP$18*(Y37-Y23))*(D37&lt;=$BP$4)))/V37)</f>
      </c>
      <c r="AD37" s="4">
        <f>ROUND((AC37*100000),0)</f>
      </c>
      <c r="AE37" s="3">
        <v>0.6807141064147643</v>
      </c>
      <c r="AF37" s="2">
        <f>MAX(AC37,AE37)</f>
      </c>
      <c r="AG37" s="2">
        <f>(($BP$19*MAX((MIN($BP$4,7)-D37),0))/MIN($BP$4,7))</f>
      </c>
      <c r="AH37" s="2">
        <f>MAX((AC37-AG37),0)</f>
      </c>
      <c r="AI37" s="2">
        <f>AH37</f>
      </c>
      <c r="AJ37" s="2">
        <f>((MIN(D37,$BP$4)*k_freq)*$BP$14)</f>
      </c>
      <c r="AK37" s="2">
        <f>IF(AJ37=0,0,AI37/AJ37)</f>
      </c>
      <c r="AM37" s="2">
        <f>MIN(1,((F37+H37)-((F37*H37)/2)))</f>
      </c>
      <c r="AN37" s="2">
        <f>(AN36*(1-AM36))</f>
      </c>
      <c r="AO37" s="2">
        <f>(AN37*I37)</f>
      </c>
      <c r="AP37" s="2">
        <f>SUM(AO37:AO63)</f>
      </c>
      <c r="AQ37" s="2">
        <f>(1-((1-G37)*(1-H37)))</f>
      </c>
      <c r="AR37" s="2">
        <f>MIN(1,((F37+AQ37)-((F37*AQ37)/2)))</f>
      </c>
      <c r="AS37" s="2">
        <f>(AS36*(1-AR36))</f>
      </c>
      <c r="AT37" s="2">
        <f>(AS37*I37)</f>
      </c>
      <c r="AU37" s="2">
        <f>SUM(AT37:AT63)</f>
      </c>
      <c r="AV37" s="2">
        <f>AN37</f>
      </c>
      <c r="AW37" s="2">
        <f>(AN37*H37)</f>
      </c>
      <c r="AX37" s="2">
        <f>AO37</f>
      </c>
      <c r="AY37" s="2">
        <f>AT37</f>
      </c>
      <c r="AZ37" s="2">
        <f>AP37</f>
      </c>
      <c r="BA37" s="2">
        <f>AU37</f>
      </c>
      <c r="BB37" s="2">
        <f>(1*IF((D37=0),(1-(3/12)),1))</f>
      </c>
      <c r="BC37" s="2">
        <f>((AN37*H37)*J37)</f>
      </c>
      <c r="BD37" s="2">
        <f>SUMPRODUCT(BB37:BB62,BC37:BC62)</f>
      </c>
      <c r="BE37" s="2">
        <f>IF(AX37=0,0,((BD37+(betaPrime*(AZ37-AZ63)))-(($BQ$18*(BA37-BA23))*(D37&lt;=$BQ$4)))/AX37)</f>
      </c>
      <c r="BF37" s="4">
        <f>ROUND((BE37*100000),0)</f>
      </c>
      <c r="BG37" s="3">
        <v>0.29507992261322824</v>
      </c>
      <c r="BH37" s="2">
        <f>MAX(BE37,BG37)</f>
      </c>
      <c r="BI37" s="2">
        <f>(($BQ$19*MAX((MIN($BQ$4,7)-D37),0))/MIN($BQ$4,7))</f>
      </c>
      <c r="BJ37" s="2">
        <f>MAX((BE37-BI37),0)</f>
      </c>
      <c r="BK37" s="2">
        <f>BJ37</f>
      </c>
      <c r="BL37" s="2">
        <f>((MIN(D37,$BQ$4)*k_freq)*$BQ$14)</f>
      </c>
      <c r="BM37" s="2">
        <f>IF(BL37=0,0,BK37/BL37)</f>
      </c>
    </row>
    <row r="38">
      <c r="D38" s="1">
        <v>35</v>
      </c>
      <c r="E38" s="1">
        <f>x_age+D38</f>
      </c>
      <c r="F38" s="3">
        <v>0.02546</v>
      </c>
      <c r="G38" s="3">
        <v>0.001347</v>
      </c>
      <c r="H38" s="3">
        <v>0.026434</v>
      </c>
      <c r="I38" s="3">
        <f>v_disc^(D38)</f>
      </c>
      <c r="J38" s="3">
        <f>v_disc^(D38+0.5)</f>
      </c>
      <c r="K38" s="2">
        <f>MIN(1,((F38+G38)-((F38*G38)/2)))</f>
      </c>
      <c r="L38" s="2">
        <f>(L37*(1-K37))</f>
      </c>
      <c r="M38" s="2">
        <f>(L38*I38)</f>
      </c>
      <c r="N38" s="2">
        <f>SUM(M38:M74)</f>
      </c>
      <c r="O38" s="2">
        <f>(1-((1-G38)*(1-H38)))</f>
      </c>
      <c r="P38" s="2">
        <f>MIN(1,((F38+O38)-((F38*O38)/2)))</f>
      </c>
      <c r="Q38" s="2">
        <f>(Q37*(1-P37))</f>
      </c>
      <c r="R38" s="2">
        <f>(Q38*I38)</f>
      </c>
      <c r="S38" s="2">
        <f>SUM(R38:R74)</f>
      </c>
      <c r="T38" s="2">
        <f>L38</f>
      </c>
      <c r="U38" s="2">
        <f>(L38*K38)</f>
      </c>
      <c r="V38" s="2">
        <f>M38</f>
      </c>
      <c r="W38" s="2">
        <f>R38</f>
      </c>
      <c r="X38" s="2">
        <f>N38</f>
      </c>
      <c r="Y38" s="2">
        <f>S38</f>
      </c>
      <c r="Z38" s="2">
        <f>1</f>
      </c>
      <c r="AA38" s="2">
        <f>((L38*K38)*J38)</f>
      </c>
      <c r="AB38" s="2">
        <f>SUMPRODUCT(Z38:Z73,AA38:AA73)</f>
      </c>
      <c r="AC38" s="2">
        <f>IF(V38=0,0,((AB38+(betaPrime*(X38-X74)))-(($BP$18*(Y38-Y23))*(D38&lt;=$BP$4)))/V38)</f>
      </c>
      <c r="AD38" s="4">
        <f>ROUND((AC38*100000),0)</f>
      </c>
      <c r="AE38" s="3">
        <v>0.6936467364036986</v>
      </c>
      <c r="AF38" s="2">
        <f>MAX(AC38,AE38)</f>
      </c>
      <c r="AG38" s="2">
        <f>(($BP$19*MAX((MIN($BP$4,7)-D38),0))/MIN($BP$4,7))</f>
      </c>
      <c r="AH38" s="2">
        <f>MAX((AC38-AG38),0)</f>
      </c>
      <c r="AI38" s="2">
        <f>AH38</f>
      </c>
      <c r="AJ38" s="2">
        <f>((MIN(D38,$BP$4)*k_freq)*$BP$14)</f>
      </c>
      <c r="AK38" s="2">
        <f>IF(AJ38=0,0,AI38/AJ38)</f>
      </c>
      <c r="AM38" s="2">
        <f>MIN(1,((F38+H38)-((F38*H38)/2)))</f>
      </c>
      <c r="AN38" s="2">
        <f>(AN37*(1-AM37))</f>
      </c>
      <c r="AO38" s="2">
        <f>(AN38*I38)</f>
      </c>
      <c r="AP38" s="2">
        <f>SUM(AO38:AO63)</f>
      </c>
      <c r="AQ38" s="2">
        <f>(1-((1-G38)*(1-H38)))</f>
      </c>
      <c r="AR38" s="2">
        <f>MIN(1,((F38+AQ38)-((F38*AQ38)/2)))</f>
      </c>
      <c r="AS38" s="2">
        <f>(AS37*(1-AR37))</f>
      </c>
      <c r="AT38" s="2">
        <f>(AS38*I38)</f>
      </c>
      <c r="AU38" s="2">
        <f>SUM(AT38:AT63)</f>
      </c>
      <c r="AV38" s="2">
        <f>AN38</f>
      </c>
      <c r="AW38" s="2">
        <f>(AN38*H38)</f>
      </c>
      <c r="AX38" s="2">
        <f>AO38</f>
      </c>
      <c r="AY38" s="2">
        <f>AT38</f>
      </c>
      <c r="AZ38" s="2">
        <f>AP38</f>
      </c>
      <c r="BA38" s="2">
        <f>AU38</f>
      </c>
      <c r="BB38" s="2">
        <f>(1*IF((D38=0),(1-(3/12)),1))</f>
      </c>
      <c r="BC38" s="2">
        <f>((AN38*H38)*J38)</f>
      </c>
      <c r="BD38" s="2">
        <f>SUMPRODUCT(BB38:BB62,BC38:BC62)</f>
      </c>
      <c r="BE38" s="2">
        <f>IF(AX38=0,0,((BD38+(betaPrime*(AZ38-AZ63)))-(($BQ$18*(BA38-BA23))*(D38&lt;=$BQ$4)))/AX38)</f>
      </c>
      <c r="BF38" s="4">
        <f>ROUND((BE38*100000),0)</f>
      </c>
      <c r="BG38" s="3">
        <v>0.292468991166767</v>
      </c>
      <c r="BH38" s="2">
        <f>MAX(BE38,BG38)</f>
      </c>
      <c r="BI38" s="2">
        <f>(($BQ$19*MAX((MIN($BQ$4,7)-D38),0))/MIN($BQ$4,7))</f>
      </c>
      <c r="BJ38" s="2">
        <f>MAX((BE38-BI38),0)</f>
      </c>
      <c r="BK38" s="2">
        <f>BJ38</f>
      </c>
      <c r="BL38" s="2">
        <f>((MIN(D38,$BQ$4)*k_freq)*$BQ$14)</f>
      </c>
      <c r="BM38" s="2">
        <f>IF(BL38=0,0,BK38/BL38)</f>
      </c>
    </row>
    <row r="39">
      <c r="D39" s="1">
        <v>36</v>
      </c>
      <c r="E39" s="1">
        <f>x_age+D39</f>
      </c>
      <c r="F39" s="3">
        <v>0.02735</v>
      </c>
      <c r="G39" s="3">
        <v>0.001393</v>
      </c>
      <c r="H39" s="3">
        <v>0.02792</v>
      </c>
      <c r="I39" s="3">
        <f>v_disc^(D39)</f>
      </c>
      <c r="J39" s="3">
        <f>v_disc^(D39+0.5)</f>
      </c>
      <c r="K39" s="2">
        <f>MIN(1,((F39+G39)-((F39*G39)/2)))</f>
      </c>
      <c r="L39" s="2">
        <f>(L38*(1-K38))</f>
      </c>
      <c r="M39" s="2">
        <f>(L39*I39)</f>
      </c>
      <c r="N39" s="2">
        <f>SUM(M39:M74)</f>
      </c>
      <c r="O39" s="2">
        <f>(1-((1-G39)*(1-H39)))</f>
      </c>
      <c r="P39" s="2">
        <f>MIN(1,((F39+O39)-((F39*O39)/2)))</f>
      </c>
      <c r="Q39" s="2">
        <f>(Q38*(1-P38))</f>
      </c>
      <c r="R39" s="2">
        <f>(Q39*I39)</f>
      </c>
      <c r="S39" s="2">
        <f>SUM(R39:R74)</f>
      </c>
      <c r="T39" s="2">
        <f>L39</f>
      </c>
      <c r="U39" s="2">
        <f>(L39*K39)</f>
      </c>
      <c r="V39" s="2">
        <f>M39</f>
      </c>
      <c r="W39" s="2">
        <f>R39</f>
      </c>
      <c r="X39" s="2">
        <f>N39</f>
      </c>
      <c r="Y39" s="2">
        <f>S39</f>
      </c>
      <c r="Z39" s="2">
        <f>1</f>
      </c>
      <c r="AA39" s="2">
        <f>((L39*K39)*J39)</f>
      </c>
      <c r="AB39" s="2">
        <f>SUMPRODUCT(Z39:Z73,AA39:AA73)</f>
      </c>
      <c r="AC39" s="2">
        <f>IF(V39=0,0,((AB39+(betaPrime*(X39-X74)))-(($BP$18*(Y39-Y23))*(D39&lt;=$BP$4)))/V39)</f>
      </c>
      <c r="AD39" s="4">
        <f>ROUND((AC39*100000),0)</f>
      </c>
      <c r="AE39" s="3">
        <v>0.7068730738202678</v>
      </c>
      <c r="AF39" s="2">
        <f>MAX(AC39,AE39)</f>
      </c>
      <c r="AG39" s="2">
        <f>(($BP$19*MAX((MIN($BP$4,7)-D39),0))/MIN($BP$4,7))</f>
      </c>
      <c r="AH39" s="2">
        <f>MAX((AC39-AG39),0)</f>
      </c>
      <c r="AI39" s="2">
        <f>AH39</f>
      </c>
      <c r="AJ39" s="2">
        <f>((MIN(D39,$BP$4)*k_freq)*$BP$14)</f>
      </c>
      <c r="AK39" s="2">
        <f>IF(AJ39=0,0,AI39/AJ39)</f>
      </c>
      <c r="AM39" s="2">
        <f>MIN(1,((F39+H39)-((F39*H39)/2)))</f>
      </c>
      <c r="AN39" s="2">
        <f>(AN38*(1-AM38))</f>
      </c>
      <c r="AO39" s="2">
        <f>(AN39*I39)</f>
      </c>
      <c r="AP39" s="2">
        <f>SUM(AO39:AO63)</f>
      </c>
      <c r="AQ39" s="2">
        <f>(1-((1-G39)*(1-H39)))</f>
      </c>
      <c r="AR39" s="2">
        <f>MIN(1,((F39+AQ39)-((F39*AQ39)/2)))</f>
      </c>
      <c r="AS39" s="2">
        <f>(AS38*(1-AR38))</f>
      </c>
      <c r="AT39" s="2">
        <f>(AS39*I39)</f>
      </c>
      <c r="AU39" s="2">
        <f>SUM(AT39:AT63)</f>
      </c>
      <c r="AV39" s="2">
        <f>AN39</f>
      </c>
      <c r="AW39" s="2">
        <f>(AN39*H39)</f>
      </c>
      <c r="AX39" s="2">
        <f>AO39</f>
      </c>
      <c r="AY39" s="2">
        <f>AT39</f>
      </c>
      <c r="AZ39" s="2">
        <f>AP39</f>
      </c>
      <c r="BA39" s="2">
        <f>AU39</f>
      </c>
      <c r="BB39" s="2">
        <f>(1*IF((D39=0),(1-(3/12)),1))</f>
      </c>
      <c r="BC39" s="2">
        <f>((AN39*H39)*J39)</f>
      </c>
      <c r="BD39" s="2">
        <f>SUMPRODUCT(BB39:BB62,BC39:BC62)</f>
      </c>
      <c r="BE39" s="2">
        <f>IF(AX39=0,0,((BD39+(betaPrime*(AZ39-AZ63)))-(($BQ$18*(BA39-BA23))*(D39&lt;=$BQ$4)))/AX39)</f>
      </c>
      <c r="BF39" s="4">
        <f>ROUND((BE39*100000),0)</f>
      </c>
      <c r="BG39" s="3">
        <v>0.2889807384347853</v>
      </c>
      <c r="BH39" s="2">
        <f>MAX(BE39,BG39)</f>
      </c>
      <c r="BI39" s="2">
        <f>(($BQ$19*MAX((MIN($BQ$4,7)-D39),0))/MIN($BQ$4,7))</f>
      </c>
      <c r="BJ39" s="2">
        <f>MAX((BE39-BI39),0)</f>
      </c>
      <c r="BK39" s="2">
        <f>BJ39</f>
      </c>
      <c r="BL39" s="2">
        <f>((MIN(D39,$BQ$4)*k_freq)*$BQ$14)</f>
      </c>
      <c r="BM39" s="2">
        <f>IF(BL39=0,0,BK39/BL39)</f>
      </c>
    </row>
    <row r="40">
      <c r="D40" s="1">
        <v>37</v>
      </c>
      <c r="E40" s="1">
        <f>x_age+D40</f>
      </c>
      <c r="F40" s="3">
        <v>0.03001</v>
      </c>
      <c r="G40" s="3">
        <v>0.001437</v>
      </c>
      <c r="H40" s="3">
        <v>0.029519</v>
      </c>
      <c r="I40" s="3">
        <f>v_disc^(D40)</f>
      </c>
      <c r="J40" s="3">
        <f>v_disc^(D40+0.5)</f>
      </c>
      <c r="K40" s="2">
        <f>MIN(1,((F40+G40)-((F40*G40)/2)))</f>
      </c>
      <c r="L40" s="2">
        <f>(L39*(1-K39))</f>
      </c>
      <c r="M40" s="2">
        <f>(L40*I40)</f>
      </c>
      <c r="N40" s="2">
        <f>SUM(M40:M74)</f>
      </c>
      <c r="O40" s="2">
        <f>(1-((1-G40)*(1-H40)))</f>
      </c>
      <c r="P40" s="2">
        <f>MIN(1,((F40+O40)-((F40*O40)/2)))</f>
      </c>
      <c r="Q40" s="2">
        <f>(Q39*(1-P39))</f>
      </c>
      <c r="R40" s="2">
        <f>(Q40*I40)</f>
      </c>
      <c r="S40" s="2">
        <f>SUM(R40:R74)</f>
      </c>
      <c r="T40" s="2">
        <f>L40</f>
      </c>
      <c r="U40" s="2">
        <f>(L40*K40)</f>
      </c>
      <c r="V40" s="2">
        <f>M40</f>
      </c>
      <c r="W40" s="2">
        <f>R40</f>
      </c>
      <c r="X40" s="2">
        <f>N40</f>
      </c>
      <c r="Y40" s="2">
        <f>S40</f>
      </c>
      <c r="Z40" s="2">
        <f>1</f>
      </c>
      <c r="AA40" s="2">
        <f>((L40*K40)*J40)</f>
      </c>
      <c r="AB40" s="2">
        <f>SUMPRODUCT(Z40:Z73,AA40:AA73)</f>
      </c>
      <c r="AC40" s="2">
        <f>IF(V40=0,0,((AB40+(betaPrime*(X40-X74)))-(($BP$18*(Y40-Y23))*(D40&lt;=$BP$4)))/V40)</f>
      </c>
      <c r="AD40" s="4">
        <f>ROUND((AC40*100000),0)</f>
      </c>
      <c r="AE40" s="3">
        <v>0.7203173252064021</v>
      </c>
      <c r="AF40" s="2">
        <f>MAX(AC40,AE40)</f>
      </c>
      <c r="AG40" s="2">
        <f>(($BP$19*MAX((MIN($BP$4,7)-D40),0))/MIN($BP$4,7))</f>
      </c>
      <c r="AH40" s="2">
        <f>MAX((AC40-AG40),0)</f>
      </c>
      <c r="AI40" s="2">
        <f>AH40</f>
      </c>
      <c r="AJ40" s="2">
        <f>((MIN(D40,$BP$4)*k_freq)*$BP$14)</f>
      </c>
      <c r="AK40" s="2">
        <f>IF(AJ40=0,0,AI40/AJ40)</f>
      </c>
      <c r="AM40" s="2">
        <f>MIN(1,((F40+H40)-((F40*H40)/2)))</f>
      </c>
      <c r="AN40" s="2">
        <f>(AN39*(1-AM39))</f>
      </c>
      <c r="AO40" s="2">
        <f>(AN40*I40)</f>
      </c>
      <c r="AP40" s="2">
        <f>SUM(AO40:AO63)</f>
      </c>
      <c r="AQ40" s="2">
        <f>(1-((1-G40)*(1-H40)))</f>
      </c>
      <c r="AR40" s="2">
        <f>MIN(1,((F40+AQ40)-((F40*AQ40)/2)))</f>
      </c>
      <c r="AS40" s="2">
        <f>(AS39*(1-AR39))</f>
      </c>
      <c r="AT40" s="2">
        <f>(AS40*I40)</f>
      </c>
      <c r="AU40" s="2">
        <f>SUM(AT40:AT63)</f>
      </c>
      <c r="AV40" s="2">
        <f>AN40</f>
      </c>
      <c r="AW40" s="2">
        <f>(AN40*H40)</f>
      </c>
      <c r="AX40" s="2">
        <f>AO40</f>
      </c>
      <c r="AY40" s="2">
        <f>AT40</f>
      </c>
      <c r="AZ40" s="2">
        <f>AP40</f>
      </c>
      <c r="BA40" s="2">
        <f>AU40</f>
      </c>
      <c r="BB40" s="2">
        <f>(1*IF((D40=0),(1-(3/12)),1))</f>
      </c>
      <c r="BC40" s="2">
        <f>((AN40*H40)*J40)</f>
      </c>
      <c r="BD40" s="2">
        <f>SUMPRODUCT(BB40:BB62,BC40:BC62)</f>
      </c>
      <c r="BE40" s="2">
        <f>IF(AX40=0,0,((BD40+(betaPrime*(AZ40-AZ63)))-(($BQ$18*(BA40-BA23))*(D40&lt;=$BQ$4)))/AX40)</f>
      </c>
      <c r="BF40" s="4">
        <f>ROUND((BE40*100000),0)</f>
      </c>
      <c r="BG40" s="3">
        <v>0.28459071014248355</v>
      </c>
      <c r="BH40" s="2">
        <f>MAX(BE40,BG40)</f>
      </c>
      <c r="BI40" s="2">
        <f>(($BQ$19*MAX((MIN($BQ$4,7)-D40),0))/MIN($BQ$4,7))</f>
      </c>
      <c r="BJ40" s="2">
        <f>MAX((BE40-BI40),0)</f>
      </c>
      <c r="BK40" s="2">
        <f>BJ40</f>
      </c>
      <c r="BL40" s="2">
        <f>((MIN(D40,$BQ$4)*k_freq)*$BQ$14)</f>
      </c>
      <c r="BM40" s="2">
        <f>IF(BL40=0,0,BK40/BL40)</f>
      </c>
    </row>
    <row r="41">
      <c r="D41" s="1">
        <v>38</v>
      </c>
      <c r="E41" s="1">
        <f>x_age+D41</f>
      </c>
      <c r="F41" s="3">
        <v>0.03347</v>
      </c>
      <c r="G41" s="3">
        <v>0.001478</v>
      </c>
      <c r="H41" s="3">
        <v>0.031298</v>
      </c>
      <c r="I41" s="3">
        <f>v_disc^(D41)</f>
      </c>
      <c r="J41" s="3">
        <f>v_disc^(D41+0.5)</f>
      </c>
      <c r="K41" s="2">
        <f>MIN(1,((F41+G41)-((F41*G41)/2)))</f>
      </c>
      <c r="L41" s="2">
        <f>(L40*(1-K40))</f>
      </c>
      <c r="M41" s="2">
        <f>(L41*I41)</f>
      </c>
      <c r="N41" s="2">
        <f>SUM(M41:M74)</f>
      </c>
      <c r="O41" s="2">
        <f>(1-((1-G41)*(1-H41)))</f>
      </c>
      <c r="P41" s="2">
        <f>MIN(1,((F41+O41)-((F41*O41)/2)))</f>
      </c>
      <c r="Q41" s="2">
        <f>(Q40*(1-P40))</f>
      </c>
      <c r="R41" s="2">
        <f>(Q41*I41)</f>
      </c>
      <c r="S41" s="2">
        <f>SUM(R41:R74)</f>
      </c>
      <c r="T41" s="2">
        <f>L41</f>
      </c>
      <c r="U41" s="2">
        <f>(L41*K41)</f>
      </c>
      <c r="V41" s="2">
        <f>M41</f>
      </c>
      <c r="W41" s="2">
        <f>R41</f>
      </c>
      <c r="X41" s="2">
        <f>N41</f>
      </c>
      <c r="Y41" s="2">
        <f>S41</f>
      </c>
      <c r="Z41" s="2">
        <f>1</f>
      </c>
      <c r="AA41" s="2">
        <f>((L41*K41)*J41)</f>
      </c>
      <c r="AB41" s="2">
        <f>SUMPRODUCT(Z41:Z73,AA41:AA73)</f>
      </c>
      <c r="AC41" s="2">
        <f>IF(V41=0,0,((AB41+(betaPrime*(X41-X74)))-(($BP$18*(Y41-Y23))*(D41&lt;=$BP$4)))/V41)</f>
      </c>
      <c r="AD41" s="4">
        <f>ROUND((AC41*100000),0)</f>
      </c>
      <c r="AE41" s="3">
        <v>0.7338238561088671</v>
      </c>
      <c r="AF41" s="2">
        <f>MAX(AC41,AE41)</f>
      </c>
      <c r="AG41" s="2">
        <f>(($BP$19*MAX((MIN($BP$4,7)-D41),0))/MIN($BP$4,7))</f>
      </c>
      <c r="AH41" s="2">
        <f>MAX((AC41-AG41),0)</f>
      </c>
      <c r="AI41" s="2">
        <f>AH41</f>
      </c>
      <c r="AJ41" s="2">
        <f>((MIN(D41,$BP$4)*k_freq)*$BP$14)</f>
      </c>
      <c r="AK41" s="2">
        <f>IF(AJ41=0,0,AI41/AJ41)</f>
      </c>
      <c r="AM41" s="2">
        <f>MIN(1,((F41+H41)-((F41*H41)/2)))</f>
      </c>
      <c r="AN41" s="2">
        <f>(AN40*(1-AM40))</f>
      </c>
      <c r="AO41" s="2">
        <f>(AN41*I41)</f>
      </c>
      <c r="AP41" s="2">
        <f>SUM(AO41:AO63)</f>
      </c>
      <c r="AQ41" s="2">
        <f>(1-((1-G41)*(1-H41)))</f>
      </c>
      <c r="AR41" s="2">
        <f>MIN(1,((F41+AQ41)-((F41*AQ41)/2)))</f>
      </c>
      <c r="AS41" s="2">
        <f>(AS40*(1-AR40))</f>
      </c>
      <c r="AT41" s="2">
        <f>(AS41*I41)</f>
      </c>
      <c r="AU41" s="2">
        <f>SUM(AT41:AT63)</f>
      </c>
      <c r="AV41" s="2">
        <f>AN41</f>
      </c>
      <c r="AW41" s="2">
        <f>(AN41*H41)</f>
      </c>
      <c r="AX41" s="2">
        <f>AO41</f>
      </c>
      <c r="AY41" s="2">
        <f>AT41</f>
      </c>
      <c r="AZ41" s="2">
        <f>AP41</f>
      </c>
      <c r="BA41" s="2">
        <f>AU41</f>
      </c>
      <c r="BB41" s="2">
        <f>(1*IF((D41=0),(1-(3/12)),1))</f>
      </c>
      <c r="BC41" s="2">
        <f>((AN41*H41)*J41)</f>
      </c>
      <c r="BD41" s="2">
        <f>SUMPRODUCT(BB41:BB62,BC41:BC62)</f>
      </c>
      <c r="BE41" s="2">
        <f>IF(AX41=0,0,((BD41+(betaPrime*(AZ41-AZ63)))-(($BQ$18*(BA41-BA23))*(D41&lt;=$BQ$4)))/AX41)</f>
      </c>
      <c r="BF41" s="4">
        <f>ROUND((BE41*100000),0)</f>
      </c>
      <c r="BG41" s="3">
        <v>0.27931625914221225</v>
      </c>
      <c r="BH41" s="2">
        <f>MAX(BE41,BG41)</f>
      </c>
      <c r="BI41" s="2">
        <f>(($BQ$19*MAX((MIN($BQ$4,7)-D41),0))/MIN($BQ$4,7))</f>
      </c>
      <c r="BJ41" s="2">
        <f>MAX((BE41-BI41),0)</f>
      </c>
      <c r="BK41" s="2">
        <f>BJ41</f>
      </c>
      <c r="BL41" s="2">
        <f>((MIN(D41,$BQ$4)*k_freq)*$BQ$14)</f>
      </c>
      <c r="BM41" s="2">
        <f>IF(BL41=0,0,BK41/BL41)</f>
      </c>
    </row>
    <row r="42">
      <c r="D42" s="1">
        <v>39</v>
      </c>
      <c r="E42" s="1">
        <f>x_age+D42</f>
      </c>
      <c r="F42" s="3">
        <v>0.03759</v>
      </c>
      <c r="G42" s="3">
        <v>0.001519</v>
      </c>
      <c r="H42" s="3">
        <v>0.033236</v>
      </c>
      <c r="I42" s="3">
        <f>v_disc^(D42)</f>
      </c>
      <c r="J42" s="3">
        <f>v_disc^(D42+0.5)</f>
      </c>
      <c r="K42" s="2">
        <f>MIN(1,((F42+G42)-((F42*G42)/2)))</f>
      </c>
      <c r="L42" s="2">
        <f>(L41*(1-K41))</f>
      </c>
      <c r="M42" s="2">
        <f>(L42*I42)</f>
      </c>
      <c r="N42" s="2">
        <f>SUM(M42:M74)</f>
      </c>
      <c r="O42" s="2">
        <f>(1-((1-G42)*(1-H42)))</f>
      </c>
      <c r="P42" s="2">
        <f>MIN(1,((F42+O42)-((F42*O42)/2)))</f>
      </c>
      <c r="Q42" s="2">
        <f>(Q41*(1-P41))</f>
      </c>
      <c r="R42" s="2">
        <f>(Q42*I42)</f>
      </c>
      <c r="S42" s="2">
        <f>SUM(R42:R74)</f>
      </c>
      <c r="T42" s="2">
        <f>L42</f>
      </c>
      <c r="U42" s="2">
        <f>(L42*K42)</f>
      </c>
      <c r="V42" s="2">
        <f>M42</f>
      </c>
      <c r="W42" s="2">
        <f>R42</f>
      </c>
      <c r="X42" s="2">
        <f>N42</f>
      </c>
      <c r="Y42" s="2">
        <f>S42</f>
      </c>
      <c r="Z42" s="2">
        <f>1</f>
      </c>
      <c r="AA42" s="2">
        <f>((L42*K42)*J42)</f>
      </c>
      <c r="AB42" s="2">
        <f>SUMPRODUCT(Z42:Z73,AA42:AA73)</f>
      </c>
      <c r="AC42" s="2">
        <f>IF(V42=0,0,((AB42+(betaPrime*(X42-X74)))-(($BP$18*(Y42-Y23))*(D42&lt;=$BP$4)))/V42)</f>
      </c>
      <c r="AD42" s="4">
        <f>ROUND((AC42*100000),0)</f>
      </c>
      <c r="AE42" s="3">
        <v>0.7472508398188493</v>
      </c>
      <c r="AF42" s="2">
        <f>MAX(AC42,AE42)</f>
      </c>
      <c r="AG42" s="2">
        <f>(($BP$19*MAX((MIN($BP$4,7)-D42),0))/MIN($BP$4,7))</f>
      </c>
      <c r="AH42" s="2">
        <f>MAX((AC42-AG42),0)</f>
      </c>
      <c r="AI42" s="2">
        <f>AH42</f>
      </c>
      <c r="AJ42" s="2">
        <f>((MIN(D42,$BP$4)*k_freq)*$BP$14)</f>
      </c>
      <c r="AK42" s="2">
        <f>IF(AJ42=0,0,AI42/AJ42)</f>
      </c>
      <c r="AM42" s="2">
        <f>MIN(1,((F42+H42)-((F42*H42)/2)))</f>
      </c>
      <c r="AN42" s="2">
        <f>(AN41*(1-AM41))</f>
      </c>
      <c r="AO42" s="2">
        <f>(AN42*I42)</f>
      </c>
      <c r="AP42" s="2">
        <f>SUM(AO42:AO63)</f>
      </c>
      <c r="AQ42" s="2">
        <f>(1-((1-G42)*(1-H42)))</f>
      </c>
      <c r="AR42" s="2">
        <f>MIN(1,((F42+AQ42)-((F42*AQ42)/2)))</f>
      </c>
      <c r="AS42" s="2">
        <f>(AS41*(1-AR41))</f>
      </c>
      <c r="AT42" s="2">
        <f>(AS42*I42)</f>
      </c>
      <c r="AU42" s="2">
        <f>SUM(AT42:AT63)</f>
      </c>
      <c r="AV42" s="2">
        <f>AN42</f>
      </c>
      <c r="AW42" s="2">
        <f>(AN42*H42)</f>
      </c>
      <c r="AX42" s="2">
        <f>AO42</f>
      </c>
      <c r="AY42" s="2">
        <f>AT42</f>
      </c>
      <c r="AZ42" s="2">
        <f>AP42</f>
      </c>
      <c r="BA42" s="2">
        <f>AU42</f>
      </c>
      <c r="BB42" s="2">
        <f>(1*IF((D42=0),(1-(3/12)),1))</f>
      </c>
      <c r="BC42" s="2">
        <f>((AN42*H42)*J42)</f>
      </c>
      <c r="BD42" s="2">
        <f>SUMPRODUCT(BB42:BB62,BC42:BC62)</f>
      </c>
      <c r="BE42" s="2">
        <f>IF(AX42=0,0,((BD42+(betaPrime*(AZ42-AZ63)))-(($BQ$18*(BA42-BA23))*(D42&lt;=$BQ$4)))/AX42)</f>
      </c>
      <c r="BF42" s="4">
        <f>ROUND((BE42*100000),0)</f>
      </c>
      <c r="BG42" s="3">
        <v>0.27310439240741696</v>
      </c>
      <c r="BH42" s="2">
        <f>MAX(BE42,BG42)</f>
      </c>
      <c r="BI42" s="2">
        <f>(($BQ$19*MAX((MIN($BQ$4,7)-D42),0))/MIN($BQ$4,7))</f>
      </c>
      <c r="BJ42" s="2">
        <f>MAX((BE42-BI42),0)</f>
      </c>
      <c r="BK42" s="2">
        <f>BJ42</f>
      </c>
      <c r="BL42" s="2">
        <f>((MIN(D42,$BQ$4)*k_freq)*$BQ$14)</f>
      </c>
      <c r="BM42" s="2">
        <f>IF(BL42=0,0,BK42/BL42)</f>
      </c>
    </row>
    <row r="43">
      <c r="D43" s="1">
        <v>40</v>
      </c>
      <c r="E43" s="1">
        <f>x_age+D43</f>
      </c>
      <c r="F43" s="3">
        <v>0.04231</v>
      </c>
      <c r="G43" s="3">
        <v>0.00157</v>
      </c>
      <c r="H43" s="3">
        <v>0.035185</v>
      </c>
      <c r="I43" s="3">
        <f>v_disc^(D43)</f>
      </c>
      <c r="J43" s="3">
        <f>v_disc^(D43+0.5)</f>
      </c>
      <c r="K43" s="2">
        <f>MIN(1,((F43+G43)-((F43*G43)/2)))</f>
      </c>
      <c r="L43" s="2">
        <f>(L42*(1-K42))</f>
      </c>
      <c r="M43" s="2">
        <f>(L43*I43)</f>
      </c>
      <c r="N43" s="2">
        <f>SUM(M43:M74)</f>
      </c>
      <c r="O43" s="2">
        <f>(1-((1-G43)*(1-H43)))</f>
      </c>
      <c r="P43" s="2">
        <f>MIN(1,((F43+O43)-((F43*O43)/2)))</f>
      </c>
      <c r="Q43" s="2">
        <f>(Q42*(1-P42))</f>
      </c>
      <c r="R43" s="2">
        <f>(Q43*I43)</f>
      </c>
      <c r="S43" s="2">
        <f>SUM(R43:R74)</f>
      </c>
      <c r="T43" s="2">
        <f>L43</f>
      </c>
      <c r="U43" s="2">
        <f>(L43*K43)</f>
      </c>
      <c r="V43" s="2">
        <f>M43</f>
      </c>
      <c r="W43" s="2">
        <f>R43</f>
      </c>
      <c r="X43" s="2">
        <f>N43</f>
      </c>
      <c r="Y43" s="2">
        <f>S43</f>
      </c>
      <c r="Z43" s="2">
        <f>1</f>
      </c>
      <c r="AA43" s="2">
        <f>((L43*K43)*J43)</f>
      </c>
      <c r="AB43" s="2">
        <f>SUMPRODUCT(Z43:Z73,AA43:AA73)</f>
      </c>
      <c r="AC43" s="2">
        <f>IF(V43=0,0,((AB43+(betaPrime*(X43-X74)))-(($BP$18*(Y43-Y23))*(D43&lt;=$BP$4)))/V43)</f>
      </c>
      <c r="AD43" s="4">
        <f>ROUND((AC43*100000),0)</f>
      </c>
      <c r="AE43" s="3">
        <v>0.760514823908074</v>
      </c>
      <c r="AF43" s="2">
        <f>MAX(AC43,AE43)</f>
      </c>
      <c r="AG43" s="2">
        <f>(($BP$19*MAX((MIN($BP$4,7)-D43),0))/MIN($BP$4,7))</f>
      </c>
      <c r="AH43" s="2">
        <f>MAX((AC43-AG43),0)</f>
      </c>
      <c r="AI43" s="2">
        <f>AH43</f>
      </c>
      <c r="AJ43" s="2">
        <f>((MIN(D43,$BP$4)*k_freq)*$BP$14)</f>
      </c>
      <c r="AK43" s="2">
        <f>IF(AJ43=0,0,AI43/AJ43)</f>
      </c>
      <c r="AM43" s="2">
        <f>MIN(1,((F43+H43)-((F43*H43)/2)))</f>
      </c>
      <c r="AN43" s="2">
        <f>(AN42*(1-AM42))</f>
      </c>
      <c r="AO43" s="2">
        <f>(AN43*I43)</f>
      </c>
      <c r="AP43" s="2">
        <f>SUM(AO43:AO63)</f>
      </c>
      <c r="AQ43" s="2">
        <f>(1-((1-G43)*(1-H43)))</f>
      </c>
      <c r="AR43" s="2">
        <f>MIN(1,((F43+AQ43)-((F43*AQ43)/2)))</f>
      </c>
      <c r="AS43" s="2">
        <f>(AS42*(1-AR42))</f>
      </c>
      <c r="AT43" s="2">
        <f>(AS43*I43)</f>
      </c>
      <c r="AU43" s="2">
        <f>SUM(AT43:AT63)</f>
      </c>
      <c r="AV43" s="2">
        <f>AN43</f>
      </c>
      <c r="AW43" s="2">
        <f>(AN43*H43)</f>
      </c>
      <c r="AX43" s="2">
        <f>AO43</f>
      </c>
      <c r="AY43" s="2">
        <f>AT43</f>
      </c>
      <c r="AZ43" s="2">
        <f>AP43</f>
      </c>
      <c r="BA43" s="2">
        <f>AU43</f>
      </c>
      <c r="BB43" s="2">
        <f>(1*IF((D43=0),(1-(3/12)),1))</f>
      </c>
      <c r="BC43" s="2">
        <f>((AN43*H43)*J43)</f>
      </c>
      <c r="BD43" s="2">
        <f>SUMPRODUCT(BB43:BB62,BC43:BC62)</f>
      </c>
      <c r="BE43" s="2">
        <f>IF(AX43=0,0,((BD43+(betaPrime*(AZ43-AZ63)))-(($BQ$18*(BA43-BA23))*(D43&lt;=$BQ$4)))/AX43)</f>
      </c>
      <c r="BF43" s="4">
        <f>ROUND((BE43*100000),0)</f>
      </c>
      <c r="BG43" s="3">
        <v>0.26583821451867906</v>
      </c>
      <c r="BH43" s="2">
        <f>MAX(BE43,BG43)</f>
      </c>
      <c r="BI43" s="2">
        <f>(($BQ$19*MAX((MIN($BQ$4,7)-D43),0))/MIN($BQ$4,7))</f>
      </c>
      <c r="BJ43" s="2">
        <f>MAX((BE43-BI43),0)</f>
      </c>
      <c r="BK43" s="2">
        <f>BJ43</f>
      </c>
      <c r="BL43" s="2">
        <f>((MIN(D43,$BQ$4)*k_freq)*$BQ$14)</f>
      </c>
      <c r="BM43" s="2">
        <f>IF(BL43=0,0,BK43/BL43)</f>
      </c>
    </row>
    <row r="44">
      <c r="D44" s="1">
        <v>41</v>
      </c>
      <c r="E44" s="1">
        <f>x_age+D44</f>
      </c>
      <c r="F44" s="3">
        <v>0.04771</v>
      </c>
      <c r="G44" s="3">
        <v>0.001601</v>
      </c>
      <c r="H44" s="3">
        <v>0.036923</v>
      </c>
      <c r="I44" s="3">
        <f>v_disc^(D44)</f>
      </c>
      <c r="J44" s="3">
        <f>v_disc^(D44+0.5)</f>
      </c>
      <c r="K44" s="2">
        <f>MIN(1,((F44+G44)-((F44*G44)/2)))</f>
      </c>
      <c r="L44" s="2">
        <f>(L43*(1-K43))</f>
      </c>
      <c r="M44" s="2">
        <f>(L44*I44)</f>
      </c>
      <c r="N44" s="2">
        <f>SUM(M44:M74)</f>
      </c>
      <c r="O44" s="2">
        <f>(1-((1-G44)*(1-H44)))</f>
      </c>
      <c r="P44" s="2">
        <f>MIN(1,((F44+O44)-((F44*O44)/2)))</f>
      </c>
      <c r="Q44" s="2">
        <f>(Q43*(1-P43))</f>
      </c>
      <c r="R44" s="2">
        <f>(Q44*I44)</f>
      </c>
      <c r="S44" s="2">
        <f>SUM(R44:R74)</f>
      </c>
      <c r="T44" s="2">
        <f>L44</f>
      </c>
      <c r="U44" s="2">
        <f>(L44*K44)</f>
      </c>
      <c r="V44" s="2">
        <f>M44</f>
      </c>
      <c r="W44" s="2">
        <f>R44</f>
      </c>
      <c r="X44" s="2">
        <f>N44</f>
      </c>
      <c r="Y44" s="2">
        <f>S44</f>
      </c>
      <c r="Z44" s="2">
        <f>1</f>
      </c>
      <c r="AA44" s="2">
        <f>((L44*K44)*J44)</f>
      </c>
      <c r="AB44" s="2">
        <f>SUMPRODUCT(Z44:Z73,AA44:AA73)</f>
      </c>
      <c r="AC44" s="2">
        <f>IF(V44=0,0,((AB44+(betaPrime*(X44-X74)))-(($BP$18*(Y44-Y23))*(D44&lt;=$BP$4)))/V44)</f>
      </c>
      <c r="AD44" s="4">
        <f>ROUND((AC44*100000),0)</f>
      </c>
      <c r="AE44" s="3">
        <v>0.7735637399590422</v>
      </c>
      <c r="AF44" s="2">
        <f>MAX(AC44,AE44)</f>
      </c>
      <c r="AG44" s="2">
        <f>(($BP$19*MAX((MIN($BP$4,7)-D44),0))/MIN($BP$4,7))</f>
      </c>
      <c r="AH44" s="2">
        <f>MAX((AC44-AG44),0)</f>
      </c>
      <c r="AI44" s="2">
        <f>AH44</f>
      </c>
      <c r="AJ44" s="2">
        <f>((MIN(D44,$BP$4)*k_freq)*$BP$14)</f>
      </c>
      <c r="AK44" s="2">
        <f>IF(AJ44=0,0,AI44/AJ44)</f>
      </c>
      <c r="AM44" s="2">
        <f>MIN(1,((F44+H44)-((F44*H44)/2)))</f>
      </c>
      <c r="AN44" s="2">
        <f>(AN43*(1-AM43))</f>
      </c>
      <c r="AO44" s="2">
        <f>(AN44*I44)</f>
      </c>
      <c r="AP44" s="2">
        <f>SUM(AO44:AO63)</f>
      </c>
      <c r="AQ44" s="2">
        <f>(1-((1-G44)*(1-H44)))</f>
      </c>
      <c r="AR44" s="2">
        <f>MIN(1,((F44+AQ44)-((F44*AQ44)/2)))</f>
      </c>
      <c r="AS44" s="2">
        <f>(AS43*(1-AR43))</f>
      </c>
      <c r="AT44" s="2">
        <f>(AS44*I44)</f>
      </c>
      <c r="AU44" s="2">
        <f>SUM(AT44:AT63)</f>
      </c>
      <c r="AV44" s="2">
        <f>AN44</f>
      </c>
      <c r="AW44" s="2">
        <f>(AN44*H44)</f>
      </c>
      <c r="AX44" s="2">
        <f>AO44</f>
      </c>
      <c r="AY44" s="2">
        <f>AT44</f>
      </c>
      <c r="AZ44" s="2">
        <f>AP44</f>
      </c>
      <c r="BA44" s="2">
        <f>AU44</f>
      </c>
      <c r="BB44" s="2">
        <f>(1*IF((D44=0),(1-(3/12)),1))</f>
      </c>
      <c r="BC44" s="2">
        <f>((AN44*H44)*J44)</f>
      </c>
      <c r="BD44" s="2">
        <f>SUMPRODUCT(BB44:BB62,BC44:BC62)</f>
      </c>
      <c r="BE44" s="2">
        <f>IF(AX44=0,0,((BD44+(betaPrime*(AZ44-AZ63)))-(($BQ$18*(BA44-BA23))*(D44&lt;=$BQ$4)))/AX44)</f>
      </c>
      <c r="BF44" s="4">
        <f>ROUND((BE44*100000),0)</f>
      </c>
      <c r="BG44" s="3">
        <v>0.2574529564362637</v>
      </c>
      <c r="BH44" s="2">
        <f>MAX(BE44,BG44)</f>
      </c>
      <c r="BI44" s="2">
        <f>(($BQ$19*MAX((MIN($BQ$4,7)-D44),0))/MIN($BQ$4,7))</f>
      </c>
      <c r="BJ44" s="2">
        <f>MAX((BE44-BI44),0)</f>
      </c>
      <c r="BK44" s="2">
        <f>BJ44</f>
      </c>
      <c r="BL44" s="2">
        <f>((MIN(D44,$BQ$4)*k_freq)*$BQ$14)</f>
      </c>
      <c r="BM44" s="2">
        <f>IF(BL44=0,0,BK44/BL44)</f>
      </c>
    </row>
    <row r="45">
      <c r="D45" s="1">
        <v>42</v>
      </c>
      <c r="E45" s="1">
        <f>x_age+D45</f>
      </c>
      <c r="F45" s="3">
        <v>0.05396</v>
      </c>
      <c r="G45" s="3">
        <v>0.001637</v>
      </c>
      <c r="H45" s="3">
        <v>0.038262</v>
      </c>
      <c r="I45" s="3">
        <f>v_disc^(D45)</f>
      </c>
      <c r="J45" s="3">
        <f>v_disc^(D45+0.5)</f>
      </c>
      <c r="K45" s="2">
        <f>MIN(1,((F45+G45)-((F45*G45)/2)))</f>
      </c>
      <c r="L45" s="2">
        <f>(L44*(1-K44))</f>
      </c>
      <c r="M45" s="2">
        <f>(L45*I45)</f>
      </c>
      <c r="N45" s="2">
        <f>SUM(M45:M74)</f>
      </c>
      <c r="O45" s="2">
        <f>(1-((1-G45)*(1-H45)))</f>
      </c>
      <c r="P45" s="2">
        <f>MIN(1,((F45+O45)-((F45*O45)/2)))</f>
      </c>
      <c r="Q45" s="2">
        <f>(Q44*(1-P44))</f>
      </c>
      <c r="R45" s="2">
        <f>(Q45*I45)</f>
      </c>
      <c r="S45" s="2">
        <f>SUM(R45:R74)</f>
      </c>
      <c r="T45" s="2">
        <f>L45</f>
      </c>
      <c r="U45" s="2">
        <f>(L45*K45)</f>
      </c>
      <c r="V45" s="2">
        <f>M45</f>
      </c>
      <c r="W45" s="2">
        <f>R45</f>
      </c>
      <c r="X45" s="2">
        <f>N45</f>
      </c>
      <c r="Y45" s="2">
        <f>S45</f>
      </c>
      <c r="Z45" s="2">
        <f>1</f>
      </c>
      <c r="AA45" s="2">
        <f>((L45*K45)*J45)</f>
      </c>
      <c r="AB45" s="2">
        <f>SUMPRODUCT(Z45:Z73,AA45:AA73)</f>
      </c>
      <c r="AC45" s="2">
        <f>IF(V45=0,0,((AB45+(betaPrime*(X45-X74)))-(($BP$18*(Y45-Y23))*(D45&lt;=$BP$4)))/V45)</f>
      </c>
      <c r="AD45" s="4">
        <f>ROUND((AC45*100000),0)</f>
      </c>
      <c r="AE45" s="3">
        <v>0.7863506782703656</v>
      </c>
      <c r="AF45" s="2">
        <f>MAX(AC45,AE45)</f>
      </c>
      <c r="AG45" s="2">
        <f>(($BP$19*MAX((MIN($BP$4,7)-D45),0))/MIN($BP$4,7))</f>
      </c>
      <c r="AH45" s="2">
        <f>MAX((AC45-AG45),0)</f>
      </c>
      <c r="AI45" s="2">
        <f>AH45</f>
      </c>
      <c r="AJ45" s="2">
        <f>((MIN(D45,$BP$4)*k_freq)*$BP$14)</f>
      </c>
      <c r="AK45" s="2">
        <f>IF(AJ45=0,0,AI45/AJ45)</f>
      </c>
      <c r="AM45" s="2">
        <f>MIN(1,((F45+H45)-((F45*H45)/2)))</f>
      </c>
      <c r="AN45" s="2">
        <f>(AN44*(1-AM44))</f>
      </c>
      <c r="AO45" s="2">
        <f>(AN45*I45)</f>
      </c>
      <c r="AP45" s="2">
        <f>SUM(AO45:AO63)</f>
      </c>
      <c r="AQ45" s="2">
        <f>(1-((1-G45)*(1-H45)))</f>
      </c>
      <c r="AR45" s="2">
        <f>MIN(1,((F45+AQ45)-((F45*AQ45)/2)))</f>
      </c>
      <c r="AS45" s="2">
        <f>(AS44*(1-AR44))</f>
      </c>
      <c r="AT45" s="2">
        <f>(AS45*I45)</f>
      </c>
      <c r="AU45" s="2">
        <f>SUM(AT45:AT63)</f>
      </c>
      <c r="AV45" s="2">
        <f>AN45</f>
      </c>
      <c r="AW45" s="2">
        <f>(AN45*H45)</f>
      </c>
      <c r="AX45" s="2">
        <f>AO45</f>
      </c>
      <c r="AY45" s="2">
        <f>AT45</f>
      </c>
      <c r="AZ45" s="2">
        <f>AP45</f>
      </c>
      <c r="BA45" s="2">
        <f>AU45</f>
      </c>
      <c r="BB45" s="2">
        <f>(1*IF((D45=0),(1-(3/12)),1))</f>
      </c>
      <c r="BC45" s="2">
        <f>((AN45*H45)*J45)</f>
      </c>
      <c r="BD45" s="2">
        <f>SUMPRODUCT(BB45:BB62,BC45:BC62)</f>
      </c>
      <c r="BE45" s="2">
        <f>IF(AX45=0,0,((BD45+(betaPrime*(AZ45-AZ63)))-(($BQ$18*(BA45-BA23))*(D45&lt;=$BQ$4)))/AX45)</f>
      </c>
      <c r="BF45" s="4">
        <f>ROUND((BE45*100000),0)</f>
      </c>
      <c r="BG45" s="3">
        <v>0.2480436805089749</v>
      </c>
      <c r="BH45" s="2">
        <f>MAX(BE45,BG45)</f>
      </c>
      <c r="BI45" s="2">
        <f>(($BQ$19*MAX((MIN($BQ$4,7)-D45),0))/MIN($BQ$4,7))</f>
      </c>
      <c r="BJ45" s="2">
        <f>MAX((BE45-BI45),0)</f>
      </c>
      <c r="BK45" s="2">
        <f>BJ45</f>
      </c>
      <c r="BL45" s="2">
        <f>((MIN(D45,$BQ$4)*k_freq)*$BQ$14)</f>
      </c>
      <c r="BM45" s="2">
        <f>IF(BL45=0,0,BK45/BL45)</f>
      </c>
    </row>
    <row r="46">
      <c r="D46" s="1">
        <v>43</v>
      </c>
      <c r="E46" s="1">
        <f>x_age+D46</f>
      </c>
      <c r="F46" s="3">
        <v>0.0611</v>
      </c>
      <c r="G46" s="3">
        <v>0.001697</v>
      </c>
      <c r="H46" s="3">
        <v>0.039146</v>
      </c>
      <c r="I46" s="3">
        <f>v_disc^(D46)</f>
      </c>
      <c r="J46" s="3">
        <f>v_disc^(D46+0.5)</f>
      </c>
      <c r="K46" s="2">
        <f>MIN(1,((F46+G46)-((F46*G46)/2)))</f>
      </c>
      <c r="L46" s="2">
        <f>(L45*(1-K45))</f>
      </c>
      <c r="M46" s="2">
        <f>(L46*I46)</f>
      </c>
      <c r="N46" s="2">
        <f>SUM(M46:M74)</f>
      </c>
      <c r="O46" s="2">
        <f>(1-((1-G46)*(1-H46)))</f>
      </c>
      <c r="P46" s="2">
        <f>MIN(1,((F46+O46)-((F46*O46)/2)))</f>
      </c>
      <c r="Q46" s="2">
        <f>(Q45*(1-P45))</f>
      </c>
      <c r="R46" s="2">
        <f>(Q46*I46)</f>
      </c>
      <c r="S46" s="2">
        <f>SUM(R46:R74)</f>
      </c>
      <c r="T46" s="2">
        <f>L46</f>
      </c>
      <c r="U46" s="2">
        <f>(L46*K46)</f>
      </c>
      <c r="V46" s="2">
        <f>M46</f>
      </c>
      <c r="W46" s="2">
        <f>R46</f>
      </c>
      <c r="X46" s="2">
        <f>N46</f>
      </c>
      <c r="Y46" s="2">
        <f>S46</f>
      </c>
      <c r="Z46" s="2">
        <f>1</f>
      </c>
      <c r="AA46" s="2">
        <f>((L46*K46)*J46)</f>
      </c>
      <c r="AB46" s="2">
        <f>SUMPRODUCT(Z46:Z73,AA46:AA73)</f>
      </c>
      <c r="AC46" s="2">
        <f>IF(V46=0,0,((AB46+(betaPrime*(X46-X74)))-(($BP$18*(Y46-Y23))*(D46&lt;=$BP$4)))/V46)</f>
      </c>
      <c r="AD46" s="4">
        <f>ROUND((AC46*100000),0)</f>
      </c>
      <c r="AE46" s="3">
        <v>0.7988019371180877</v>
      </c>
      <c r="AF46" s="2">
        <f>MAX(AC46,AE46)</f>
      </c>
      <c r="AG46" s="2">
        <f>(($BP$19*MAX((MIN($BP$4,7)-D46),0))/MIN($BP$4,7))</f>
      </c>
      <c r="AH46" s="2">
        <f>MAX((AC46-AG46),0)</f>
      </c>
      <c r="AI46" s="2">
        <f>AH46</f>
      </c>
      <c r="AJ46" s="2">
        <f>((MIN(D46,$BP$4)*k_freq)*$BP$14)</f>
      </c>
      <c r="AK46" s="2">
        <f>IF(AJ46=0,0,AI46/AJ46)</f>
      </c>
      <c r="AM46" s="2">
        <f>MIN(1,((F46+H46)-((F46*H46)/2)))</f>
      </c>
      <c r="AN46" s="2">
        <f>(AN45*(1-AM45))</f>
      </c>
      <c r="AO46" s="2">
        <f>(AN46*I46)</f>
      </c>
      <c r="AP46" s="2">
        <f>SUM(AO46:AO63)</f>
      </c>
      <c r="AQ46" s="2">
        <f>(1-((1-G46)*(1-H46)))</f>
      </c>
      <c r="AR46" s="2">
        <f>MIN(1,((F46+AQ46)-((F46*AQ46)/2)))</f>
      </c>
      <c r="AS46" s="2">
        <f>(AS45*(1-AR45))</f>
      </c>
      <c r="AT46" s="2">
        <f>(AS46*I46)</f>
      </c>
      <c r="AU46" s="2">
        <f>SUM(AT46:AT63)</f>
      </c>
      <c r="AV46" s="2">
        <f>AN46</f>
      </c>
      <c r="AW46" s="2">
        <f>(AN46*H46)</f>
      </c>
      <c r="AX46" s="2">
        <f>AO46</f>
      </c>
      <c r="AY46" s="2">
        <f>AT46</f>
      </c>
      <c r="AZ46" s="2">
        <f>AP46</f>
      </c>
      <c r="BA46" s="2">
        <f>AU46</f>
      </c>
      <c r="BB46" s="2">
        <f>(1*IF((D46=0),(1-(3/12)),1))</f>
      </c>
      <c r="BC46" s="2">
        <f>((AN46*H46)*J46)</f>
      </c>
      <c r="BD46" s="2">
        <f>SUMPRODUCT(BB46:BB62,BC46:BC62)</f>
      </c>
      <c r="BE46" s="2">
        <f>IF(AX46=0,0,((BD46+(betaPrime*(AZ46-AZ63)))-(($BQ$18*(BA46-BA23))*(D46&lt;=$BQ$4)))/AX46)</f>
      </c>
      <c r="BF46" s="4">
        <f>ROUND((BE46*100000),0)</f>
      </c>
      <c r="BG46" s="3">
        <v>0.23788662150984188</v>
      </c>
      <c r="BH46" s="2">
        <f>MAX(BE46,BG46)</f>
      </c>
      <c r="BI46" s="2">
        <f>(($BQ$19*MAX((MIN($BQ$4,7)-D46),0))/MIN($BQ$4,7))</f>
      </c>
      <c r="BJ46" s="2">
        <f>MAX((BE46-BI46),0)</f>
      </c>
      <c r="BK46" s="2">
        <f>BJ46</f>
      </c>
      <c r="BL46" s="2">
        <f>((MIN(D46,$BQ$4)*k_freq)*$BQ$14)</f>
      </c>
      <c r="BM46" s="2">
        <f>IF(BL46=0,0,BK46/BL46)</f>
      </c>
    </row>
    <row r="47">
      <c r="D47" s="1">
        <v>44</v>
      </c>
      <c r="E47" s="1">
        <f>x_age+D47</f>
      </c>
      <c r="F47" s="3">
        <v>0.06905</v>
      </c>
      <c r="G47" s="3">
        <v>0.001805</v>
      </c>
      <c r="H47" s="3">
        <v>0.03965</v>
      </c>
      <c r="I47" s="3">
        <f>v_disc^(D47)</f>
      </c>
      <c r="J47" s="3">
        <f>v_disc^(D47+0.5)</f>
      </c>
      <c r="K47" s="2">
        <f>MIN(1,((F47+G47)-((F47*G47)/2)))</f>
      </c>
      <c r="L47" s="2">
        <f>(L46*(1-K46))</f>
      </c>
      <c r="M47" s="2">
        <f>(L47*I47)</f>
      </c>
      <c r="N47" s="2">
        <f>SUM(M47:M74)</f>
      </c>
      <c r="O47" s="2">
        <f>(1-((1-G47)*(1-H47)))</f>
      </c>
      <c r="P47" s="2">
        <f>MIN(1,((F47+O47)-((F47*O47)/2)))</f>
      </c>
      <c r="Q47" s="2">
        <f>(Q46*(1-P46))</f>
      </c>
      <c r="R47" s="2">
        <f>(Q47*I47)</f>
      </c>
      <c r="S47" s="2">
        <f>SUM(R47:R74)</f>
      </c>
      <c r="T47" s="2">
        <f>L47</f>
      </c>
      <c r="U47" s="2">
        <f>(L47*K47)</f>
      </c>
      <c r="V47" s="2">
        <f>M47</f>
      </c>
      <c r="W47" s="2">
        <f>R47</f>
      </c>
      <c r="X47" s="2">
        <f>N47</f>
      </c>
      <c r="Y47" s="2">
        <f>S47</f>
      </c>
      <c r="Z47" s="2">
        <f>1</f>
      </c>
      <c r="AA47" s="2">
        <f>((L47*K47)*J47)</f>
      </c>
      <c r="AB47" s="2">
        <f>SUMPRODUCT(Z47:Z73,AA47:AA73)</f>
      </c>
      <c r="AC47" s="2">
        <f>IF(V47=0,0,((AB47+(betaPrime*(X47-X74)))-(($BP$18*(Y47-Y23))*(D47&lt;=$BP$4)))/V47)</f>
      </c>
      <c r="AD47" s="4">
        <f>ROUND((AC47*100000),0)</f>
      </c>
      <c r="AE47" s="3">
        <v>0.8108508506475096</v>
      </c>
      <c r="AF47" s="2">
        <f>MAX(AC47,AE47)</f>
      </c>
      <c r="AG47" s="2">
        <f>(($BP$19*MAX((MIN($BP$4,7)-D47),0))/MIN($BP$4,7))</f>
      </c>
      <c r="AH47" s="2">
        <f>MAX((AC47-AG47),0)</f>
      </c>
      <c r="AI47" s="2">
        <f>AH47</f>
      </c>
      <c r="AJ47" s="2">
        <f>((MIN(D47,$BP$4)*k_freq)*$BP$14)</f>
      </c>
      <c r="AK47" s="2">
        <f>IF(AJ47=0,0,AI47/AJ47)</f>
      </c>
      <c r="AM47" s="2">
        <f>MIN(1,((F47+H47)-((F47*H47)/2)))</f>
      </c>
      <c r="AN47" s="2">
        <f>(AN46*(1-AM46))</f>
      </c>
      <c r="AO47" s="2">
        <f>(AN47*I47)</f>
      </c>
      <c r="AP47" s="2">
        <f>SUM(AO47:AO63)</f>
      </c>
      <c r="AQ47" s="2">
        <f>(1-((1-G47)*(1-H47)))</f>
      </c>
      <c r="AR47" s="2">
        <f>MIN(1,((F47+AQ47)-((F47*AQ47)/2)))</f>
      </c>
      <c r="AS47" s="2">
        <f>(AS46*(1-AR46))</f>
      </c>
      <c r="AT47" s="2">
        <f>(AS47*I47)</f>
      </c>
      <c r="AU47" s="2">
        <f>SUM(AT47:AT63)</f>
      </c>
      <c r="AV47" s="2">
        <f>AN47</f>
      </c>
      <c r="AW47" s="2">
        <f>(AN47*H47)</f>
      </c>
      <c r="AX47" s="2">
        <f>AO47</f>
      </c>
      <c r="AY47" s="2">
        <f>AT47</f>
      </c>
      <c r="AZ47" s="2">
        <f>AP47</f>
      </c>
      <c r="BA47" s="2">
        <f>AU47</f>
      </c>
      <c r="BB47" s="2">
        <f>(1*IF((D47=0),(1-(3/12)),1))</f>
      </c>
      <c r="BC47" s="2">
        <f>((AN47*H47)*J47)</f>
      </c>
      <c r="BD47" s="2">
        <f>SUMPRODUCT(BB47:BB62,BC47:BC62)</f>
      </c>
      <c r="BE47" s="2">
        <f>IF(AX47=0,0,((BD47+(betaPrime*(AZ47-AZ63)))-(($BQ$18*(BA47-BA23))*(D47&lt;=$BQ$4)))/AX47)</f>
      </c>
      <c r="BF47" s="4">
        <f>ROUND((BE47*100000),0)</f>
      </c>
      <c r="BG47" s="3">
        <v>0.227324957850427</v>
      </c>
      <c r="BH47" s="2">
        <f>MAX(BE47,BG47)</f>
      </c>
      <c r="BI47" s="2">
        <f>(($BQ$19*MAX((MIN($BQ$4,7)-D47),0))/MIN($BQ$4,7))</f>
      </c>
      <c r="BJ47" s="2">
        <f>MAX((BE47-BI47),0)</f>
      </c>
      <c r="BK47" s="2">
        <f>BJ47</f>
      </c>
      <c r="BL47" s="2">
        <f>((MIN(D47,$BQ$4)*k_freq)*$BQ$14)</f>
      </c>
      <c r="BM47" s="2">
        <f>IF(BL47=0,0,BK47/BL47)</f>
      </c>
    </row>
    <row r="48">
      <c r="D48" s="1">
        <v>45</v>
      </c>
      <c r="E48" s="1">
        <f>x_age+D48</f>
      </c>
      <c r="F48" s="3">
        <v>0.07773</v>
      </c>
      <c r="G48" s="3">
        <v>0.00198</v>
      </c>
      <c r="H48" s="3">
        <v>0.039917</v>
      </c>
      <c r="I48" s="3">
        <f>v_disc^(D48)</f>
      </c>
      <c r="J48" s="3">
        <f>v_disc^(D48+0.5)</f>
      </c>
      <c r="K48" s="2">
        <f>MIN(1,((F48+G48)-((F48*G48)/2)))</f>
      </c>
      <c r="L48" s="2">
        <f>(L47*(1-K47))</f>
      </c>
      <c r="M48" s="2">
        <f>(L48*I48)</f>
      </c>
      <c r="N48" s="2">
        <f>SUM(M48:M74)</f>
      </c>
      <c r="O48" s="2">
        <f>(1-((1-G48)*(1-H48)))</f>
      </c>
      <c r="P48" s="2">
        <f>MIN(1,((F48+O48)-((F48*O48)/2)))</f>
      </c>
      <c r="Q48" s="2">
        <f>(Q47*(1-P47))</f>
      </c>
      <c r="R48" s="2">
        <f>(Q48*I48)</f>
      </c>
      <c r="S48" s="2">
        <f>SUM(R48:R74)</f>
      </c>
      <c r="T48" s="2">
        <f>L48</f>
      </c>
      <c r="U48" s="2">
        <f>(L48*K48)</f>
      </c>
      <c r="V48" s="2">
        <f>M48</f>
      </c>
      <c r="W48" s="2">
        <f>R48</f>
      </c>
      <c r="X48" s="2">
        <f>N48</f>
      </c>
      <c r="Y48" s="2">
        <f>S48</f>
      </c>
      <c r="Z48" s="2">
        <f>1</f>
      </c>
      <c r="AA48" s="2">
        <f>((L48*K48)*J48)</f>
      </c>
      <c r="AB48" s="2">
        <f>SUMPRODUCT(Z48:Z73,AA48:AA73)</f>
      </c>
      <c r="AC48" s="2">
        <f>IF(V48=0,0,((AB48+(betaPrime*(X48-X74)))-(($BP$18*(Y48-Y23))*(D48&lt;=$BP$4)))/V48)</f>
      </c>
      <c r="AD48" s="4">
        <f>ROUND((AC48*100000),0)</f>
      </c>
      <c r="AE48" s="3">
        <v>0.8224613854312589</v>
      </c>
      <c r="AF48" s="2">
        <f>MAX(AC48,AE48)</f>
      </c>
      <c r="AG48" s="2">
        <f>(($BP$19*MAX((MIN($BP$4,7)-D48),0))/MIN($BP$4,7))</f>
      </c>
      <c r="AH48" s="2">
        <f>MAX((AC48-AG48),0)</f>
      </c>
      <c r="AI48" s="2">
        <f>AH48</f>
      </c>
      <c r="AJ48" s="2">
        <f>((MIN(D48,$BP$4)*k_freq)*$BP$14)</f>
      </c>
      <c r="AK48" s="2">
        <f>IF(AJ48=0,0,AI48/AJ48)</f>
      </c>
      <c r="AM48" s="2">
        <f>MIN(1,((F48+H48)-((F48*H48)/2)))</f>
      </c>
      <c r="AN48" s="2">
        <f>(AN47*(1-AM47))</f>
      </c>
      <c r="AO48" s="2">
        <f>(AN48*I48)</f>
      </c>
      <c r="AP48" s="2">
        <f>SUM(AO48:AO63)</f>
      </c>
      <c r="AQ48" s="2">
        <f>(1-((1-G48)*(1-H48)))</f>
      </c>
      <c r="AR48" s="2">
        <f>MIN(1,((F48+AQ48)-((F48*AQ48)/2)))</f>
      </c>
      <c r="AS48" s="2">
        <f>(AS47*(1-AR47))</f>
      </c>
      <c r="AT48" s="2">
        <f>(AS48*I48)</f>
      </c>
      <c r="AU48" s="2">
        <f>SUM(AT48:AT63)</f>
      </c>
      <c r="AV48" s="2">
        <f>AN48</f>
      </c>
      <c r="AW48" s="2">
        <f>(AN48*H48)</f>
      </c>
      <c r="AX48" s="2">
        <f>AO48</f>
      </c>
      <c r="AY48" s="2">
        <f>AT48</f>
      </c>
      <c r="AZ48" s="2">
        <f>AP48</f>
      </c>
      <c r="BA48" s="2">
        <f>AU48</f>
      </c>
      <c r="BB48" s="2">
        <f>(1*IF((D48=0),(1-(3/12)),1))</f>
      </c>
      <c r="BC48" s="2">
        <f>((AN48*H48)*J48)</f>
      </c>
      <c r="BD48" s="2">
        <f>SUMPRODUCT(BB48:BB62,BC48:BC62)</f>
      </c>
      <c r="BE48" s="2">
        <f>IF(AX48=0,0,((BD48+(betaPrime*(AZ48-AZ63)))-(($BQ$18*(BA48-BA23))*(D48&lt;=$BQ$4)))/AX48)</f>
      </c>
      <c r="BF48" s="4">
        <f>ROUND((BE48*100000),0)</f>
      </c>
      <c r="BG48" s="3">
        <v>0.21664399265995896</v>
      </c>
      <c r="BH48" s="2">
        <f>MAX(BE48,BG48)</f>
      </c>
      <c r="BI48" s="2">
        <f>(($BQ$19*MAX((MIN($BQ$4,7)-D48),0))/MIN($BQ$4,7))</f>
      </c>
      <c r="BJ48" s="2">
        <f>MAX((BE48-BI48),0)</f>
      </c>
      <c r="BK48" s="2">
        <f>BJ48</f>
      </c>
      <c r="BL48" s="2">
        <f>((MIN(D48,$BQ$4)*k_freq)*$BQ$14)</f>
      </c>
      <c r="BM48" s="2">
        <f>IF(BL48=0,0,BK48/BL48)</f>
      </c>
    </row>
    <row r="49">
      <c r="D49" s="1">
        <v>46</v>
      </c>
      <c r="E49" s="1">
        <f>x_age+D49</f>
      </c>
      <c r="F49" s="3">
        <v>0.08722</v>
      </c>
      <c r="G49" s="3">
        <v>0.002224</v>
      </c>
      <c r="H49" s="3">
        <v>0.040088</v>
      </c>
      <c r="I49" s="3">
        <f>v_disc^(D49)</f>
      </c>
      <c r="J49" s="3">
        <f>v_disc^(D49+0.5)</f>
      </c>
      <c r="K49" s="2">
        <f>MIN(1,((F49+G49)-((F49*G49)/2)))</f>
      </c>
      <c r="L49" s="2">
        <f>(L48*(1-K48))</f>
      </c>
      <c r="M49" s="2">
        <f>(L49*I49)</f>
      </c>
      <c r="N49" s="2">
        <f>SUM(M49:M74)</f>
      </c>
      <c r="O49" s="2">
        <f>(1-((1-G49)*(1-H49)))</f>
      </c>
      <c r="P49" s="2">
        <f>MIN(1,((F49+O49)-((F49*O49)/2)))</f>
      </c>
      <c r="Q49" s="2">
        <f>(Q48*(1-P48))</f>
      </c>
      <c r="R49" s="2">
        <f>(Q49*I49)</f>
      </c>
      <c r="S49" s="2">
        <f>SUM(R49:R74)</f>
      </c>
      <c r="T49" s="2">
        <f>L49</f>
      </c>
      <c r="U49" s="2">
        <f>(L49*K49)</f>
      </c>
      <c r="V49" s="2">
        <f>M49</f>
      </c>
      <c r="W49" s="2">
        <f>R49</f>
      </c>
      <c r="X49" s="2">
        <f>N49</f>
      </c>
      <c r="Y49" s="2">
        <f>S49</f>
      </c>
      <c r="Z49" s="2">
        <f>1</f>
      </c>
      <c r="AA49" s="2">
        <f>((L49*K49)*J49)</f>
      </c>
      <c r="AB49" s="2">
        <f>SUMPRODUCT(Z49:Z73,AA49:AA73)</f>
      </c>
      <c r="AC49" s="2">
        <f>IF(V49=0,0,((AB49+(betaPrime*(X49-X74)))-(($BP$18*(Y49-Y23))*(D49&lt;=$BP$4)))/V49)</f>
      </c>
      <c r="AD49" s="4">
        <f>ROUND((AC49*100000),0)</f>
      </c>
      <c r="AE49" s="3">
        <v>0.833626349228633</v>
      </c>
      <c r="AF49" s="2">
        <f>MAX(AC49,AE49)</f>
      </c>
      <c r="AG49" s="2">
        <f>(($BP$19*MAX((MIN($BP$4,7)-D49),0))/MIN($BP$4,7))</f>
      </c>
      <c r="AH49" s="2">
        <f>MAX((AC49-AG49),0)</f>
      </c>
      <c r="AI49" s="2">
        <f>AH49</f>
      </c>
      <c r="AJ49" s="2">
        <f>((MIN(D49,$BP$4)*k_freq)*$BP$14)</f>
      </c>
      <c r="AK49" s="2">
        <f>IF(AJ49=0,0,AI49/AJ49)</f>
      </c>
      <c r="AM49" s="2">
        <f>MIN(1,((F49+H49)-((F49*H49)/2)))</f>
      </c>
      <c r="AN49" s="2">
        <f>(AN48*(1-AM48))</f>
      </c>
      <c r="AO49" s="2">
        <f>(AN49*I49)</f>
      </c>
      <c r="AP49" s="2">
        <f>SUM(AO49:AO63)</f>
      </c>
      <c r="AQ49" s="2">
        <f>(1-((1-G49)*(1-H49)))</f>
      </c>
      <c r="AR49" s="2">
        <f>MIN(1,((F49+AQ49)-((F49*AQ49)/2)))</f>
      </c>
      <c r="AS49" s="2">
        <f>(AS48*(1-AR48))</f>
      </c>
      <c r="AT49" s="2">
        <f>(AS49*I49)</f>
      </c>
      <c r="AU49" s="2">
        <f>SUM(AT49:AT63)</f>
      </c>
      <c r="AV49" s="2">
        <f>AN49</f>
      </c>
      <c r="AW49" s="2">
        <f>(AN49*H49)</f>
      </c>
      <c r="AX49" s="2">
        <f>AO49</f>
      </c>
      <c r="AY49" s="2">
        <f>AT49</f>
      </c>
      <c r="AZ49" s="2">
        <f>AP49</f>
      </c>
      <c r="BA49" s="2">
        <f>AU49</f>
      </c>
      <c r="BB49" s="2">
        <f>(1*IF((D49=0),(1-(3/12)),1))</f>
      </c>
      <c r="BC49" s="2">
        <f>((AN49*H49)*J49)</f>
      </c>
      <c r="BD49" s="2">
        <f>SUMPRODUCT(BB49:BB62,BC49:BC62)</f>
      </c>
      <c r="BE49" s="2">
        <f>IF(AX49=0,0,((BD49+(betaPrime*(AZ49-AZ63)))-(($BQ$18*(BA49-BA23))*(D49&lt;=$BQ$4)))/AX49)</f>
      </c>
      <c r="BF49" s="4">
        <f>ROUND((BE49*100000),0)</f>
      </c>
      <c r="BG49" s="3">
        <v>0.20600866206293844</v>
      </c>
      <c r="BH49" s="2">
        <f>MAX(BE49,BG49)</f>
      </c>
      <c r="BI49" s="2">
        <f>(($BQ$19*MAX((MIN($BQ$4,7)-D49),0))/MIN($BQ$4,7))</f>
      </c>
      <c r="BJ49" s="2">
        <f>MAX((BE49-BI49),0)</f>
      </c>
      <c r="BK49" s="2">
        <f>BJ49</f>
      </c>
      <c r="BL49" s="2">
        <f>((MIN(D49,$BQ$4)*k_freq)*$BQ$14)</f>
      </c>
      <c r="BM49" s="2">
        <f>IF(BL49=0,0,BK49/BL49)</f>
      </c>
    </row>
    <row r="50">
      <c r="D50" s="1">
        <v>47</v>
      </c>
      <c r="E50" s="1">
        <f>x_age+D50</f>
      </c>
      <c r="F50" s="3">
        <v>0.09774</v>
      </c>
      <c r="G50" s="3">
        <v>0.002533</v>
      </c>
      <c r="H50" s="3">
        <v>0.040239</v>
      </c>
      <c r="I50" s="3">
        <f>v_disc^(D50)</f>
      </c>
      <c r="J50" s="3">
        <f>v_disc^(D50+0.5)</f>
      </c>
      <c r="K50" s="2">
        <f>MIN(1,((F50+G50)-((F50*G50)/2)))</f>
      </c>
      <c r="L50" s="2">
        <f>(L49*(1-K49))</f>
      </c>
      <c r="M50" s="2">
        <f>(L50*I50)</f>
      </c>
      <c r="N50" s="2">
        <f>SUM(M50:M74)</f>
      </c>
      <c r="O50" s="2">
        <f>(1-((1-G50)*(1-H50)))</f>
      </c>
      <c r="P50" s="2">
        <f>MIN(1,((F50+O50)-((F50*O50)/2)))</f>
      </c>
      <c r="Q50" s="2">
        <f>(Q49*(1-P49))</f>
      </c>
      <c r="R50" s="2">
        <f>(Q50*I50)</f>
      </c>
      <c r="S50" s="2">
        <f>SUM(R50:R74)</f>
      </c>
      <c r="T50" s="2">
        <f>L50</f>
      </c>
      <c r="U50" s="2">
        <f>(L50*K50)</f>
      </c>
      <c r="V50" s="2">
        <f>M50</f>
      </c>
      <c r="W50" s="2">
        <f>R50</f>
      </c>
      <c r="X50" s="2">
        <f>N50</f>
      </c>
      <c r="Y50" s="2">
        <f>S50</f>
      </c>
      <c r="Z50" s="2">
        <f>1</f>
      </c>
      <c r="AA50" s="2">
        <f>((L50*K50)*J50)</f>
      </c>
      <c r="AB50" s="2">
        <f>SUMPRODUCT(Z50:Z73,AA50:AA73)</f>
      </c>
      <c r="AC50" s="2">
        <f>IF(V50=0,0,((AB50+(betaPrime*(X50-X74)))-(($BP$18*(Y50-Y23))*(D50&lt;=$BP$4)))/V50)</f>
      </c>
      <c r="AD50" s="4">
        <f>ROUND((AC50*100000),0)</f>
      </c>
      <c r="AE50" s="3">
        <v>0.8443385390328176</v>
      </c>
      <c r="AF50" s="2">
        <f>MAX(AC50,AE50)</f>
      </c>
      <c r="AG50" s="2">
        <f>(($BP$19*MAX((MIN($BP$4,7)-D50),0))/MIN($BP$4,7))</f>
      </c>
      <c r="AH50" s="2">
        <f>MAX((AC50-AG50),0)</f>
      </c>
      <c r="AI50" s="2">
        <f>AH50</f>
      </c>
      <c r="AJ50" s="2">
        <f>((MIN(D50,$BP$4)*k_freq)*$BP$14)</f>
      </c>
      <c r="AK50" s="2">
        <f>IF(AJ50=0,0,AI50/AJ50)</f>
      </c>
      <c r="AM50" s="2">
        <f>MIN(1,((F50+H50)-((F50*H50)/2)))</f>
      </c>
      <c r="AN50" s="2">
        <f>(AN49*(1-AM49))</f>
      </c>
      <c r="AO50" s="2">
        <f>(AN50*I50)</f>
      </c>
      <c r="AP50" s="2">
        <f>SUM(AO50:AO63)</f>
      </c>
      <c r="AQ50" s="2">
        <f>(1-((1-G50)*(1-H50)))</f>
      </c>
      <c r="AR50" s="2">
        <f>MIN(1,((F50+AQ50)-((F50*AQ50)/2)))</f>
      </c>
      <c r="AS50" s="2">
        <f>(AS49*(1-AR49))</f>
      </c>
      <c r="AT50" s="2">
        <f>(AS50*I50)</f>
      </c>
      <c r="AU50" s="2">
        <f>SUM(AT50:AT63)</f>
      </c>
      <c r="AV50" s="2">
        <f>AN50</f>
      </c>
      <c r="AW50" s="2">
        <f>(AN50*H50)</f>
      </c>
      <c r="AX50" s="2">
        <f>AO50</f>
      </c>
      <c r="AY50" s="2">
        <f>AT50</f>
      </c>
      <c r="AZ50" s="2">
        <f>AP50</f>
      </c>
      <c r="BA50" s="2">
        <f>AU50</f>
      </c>
      <c r="BB50" s="2">
        <f>(1*IF((D50=0),(1-(3/12)),1))</f>
      </c>
      <c r="BC50" s="2">
        <f>((AN50*H50)*J50)</f>
      </c>
      <c r="BD50" s="2">
        <f>SUMPRODUCT(BB50:BB62,BC50:BC62)</f>
      </c>
      <c r="BE50" s="2">
        <f>IF(AX50=0,0,((BD50+(betaPrime*(AZ50-AZ63)))-(($BQ$18*(BA50-BA23))*(D50&lt;=$BQ$4)))/AX50)</f>
      </c>
      <c r="BF50" s="4">
        <f>ROUND((BE50*100000),0)</f>
      </c>
      <c r="BG50" s="3">
        <v>0.19548188061587143</v>
      </c>
      <c r="BH50" s="2">
        <f>MAX(BE50,BG50)</f>
      </c>
      <c r="BI50" s="2">
        <f>(($BQ$19*MAX((MIN($BQ$4,7)-D50),0))/MIN($BQ$4,7))</f>
      </c>
      <c r="BJ50" s="2">
        <f>MAX((BE50-BI50),0)</f>
      </c>
      <c r="BK50" s="2">
        <f>BJ50</f>
      </c>
      <c r="BL50" s="2">
        <f>((MIN(D50,$BQ$4)*k_freq)*$BQ$14)</f>
      </c>
      <c r="BM50" s="2">
        <f>IF(BL50=0,0,BK50/BL50)</f>
      </c>
    </row>
    <row r="51">
      <c r="D51" s="1">
        <v>48</v>
      </c>
      <c r="E51" s="1">
        <f>x_age+D51</f>
      </c>
      <c r="F51" s="3">
        <v>0.10926</v>
      </c>
      <c r="G51" s="3">
        <v>0.002891</v>
      </c>
      <c r="H51" s="3">
        <v>0.040361</v>
      </c>
      <c r="I51" s="3">
        <f>v_disc^(D51)</f>
      </c>
      <c r="J51" s="3">
        <f>v_disc^(D51+0.5)</f>
      </c>
      <c r="K51" s="2">
        <f>MIN(1,((F51+G51)-((F51*G51)/2)))</f>
      </c>
      <c r="L51" s="2">
        <f>(L50*(1-K50))</f>
      </c>
      <c r="M51" s="2">
        <f>(L51*I51)</f>
      </c>
      <c r="N51" s="2">
        <f>SUM(M51:M74)</f>
      </c>
      <c r="O51" s="2">
        <f>(1-((1-G51)*(1-H51)))</f>
      </c>
      <c r="P51" s="2">
        <f>MIN(1,((F51+O51)-((F51*O51)/2)))</f>
      </c>
      <c r="Q51" s="2">
        <f>(Q50*(1-P50))</f>
      </c>
      <c r="R51" s="2">
        <f>(Q51*I51)</f>
      </c>
      <c r="S51" s="2">
        <f>SUM(R51:R74)</f>
      </c>
      <c r="T51" s="2">
        <f>L51</f>
      </c>
      <c r="U51" s="2">
        <f>(L51*K51)</f>
      </c>
      <c r="V51" s="2">
        <f>M51</f>
      </c>
      <c r="W51" s="2">
        <f>R51</f>
      </c>
      <c r="X51" s="2">
        <f>N51</f>
      </c>
      <c r="Y51" s="2">
        <f>S51</f>
      </c>
      <c r="Z51" s="2">
        <f>1</f>
      </c>
      <c r="AA51" s="2">
        <f>((L51*K51)*J51)</f>
      </c>
      <c r="AB51" s="2">
        <f>SUMPRODUCT(Z51:Z73,AA51:AA73)</f>
      </c>
      <c r="AC51" s="2">
        <f>IF(V51=0,0,((AB51+(betaPrime*(X51-X74)))-(($BP$18*(Y51-Y23))*(D51&lt;=$BP$4)))/V51)</f>
      </c>
      <c r="AD51" s="4">
        <f>ROUND((AC51*100000),0)</f>
      </c>
      <c r="AE51" s="3">
        <v>0.8545676986526081</v>
      </c>
      <c r="AF51" s="2">
        <f>MAX(AC51,AE51)</f>
      </c>
      <c r="AG51" s="2">
        <f>(($BP$19*MAX((MIN($BP$4,7)-D51),0))/MIN($BP$4,7))</f>
      </c>
      <c r="AH51" s="2">
        <f>MAX((AC51-AG51),0)</f>
      </c>
      <c r="AI51" s="2">
        <f>AH51</f>
      </c>
      <c r="AJ51" s="2">
        <f>((MIN(D51,$BP$4)*k_freq)*$BP$14)</f>
      </c>
      <c r="AK51" s="2">
        <f>IF(AJ51=0,0,AI51/AJ51)</f>
      </c>
      <c r="AM51" s="2">
        <f>MIN(1,((F51+H51)-((F51*H51)/2)))</f>
      </c>
      <c r="AN51" s="2">
        <f>(AN50*(1-AM50))</f>
      </c>
      <c r="AO51" s="2">
        <f>(AN51*I51)</f>
      </c>
      <c r="AP51" s="2">
        <f>SUM(AO51:AO63)</f>
      </c>
      <c r="AQ51" s="2">
        <f>(1-((1-G51)*(1-H51)))</f>
      </c>
      <c r="AR51" s="2">
        <f>MIN(1,((F51+AQ51)-((F51*AQ51)/2)))</f>
      </c>
      <c r="AS51" s="2">
        <f>(AS50*(1-AR50))</f>
      </c>
      <c r="AT51" s="2">
        <f>(AS51*I51)</f>
      </c>
      <c r="AU51" s="2">
        <f>SUM(AT51:AT63)</f>
      </c>
      <c r="AV51" s="2">
        <f>AN51</f>
      </c>
      <c r="AW51" s="2">
        <f>(AN51*H51)</f>
      </c>
      <c r="AX51" s="2">
        <f>AO51</f>
      </c>
      <c r="AY51" s="2">
        <f>AT51</f>
      </c>
      <c r="AZ51" s="2">
        <f>AP51</f>
      </c>
      <c r="BA51" s="2">
        <f>AU51</f>
      </c>
      <c r="BB51" s="2">
        <f>(1*IF((D51=0),(1-(3/12)),1))</f>
      </c>
      <c r="BC51" s="2">
        <f>((AN51*H51)*J51)</f>
      </c>
      <c r="BD51" s="2">
        <f>SUMPRODUCT(BB51:BB62,BC51:BC62)</f>
      </c>
      <c r="BE51" s="2">
        <f>IF(AX51=0,0,((BD51+(betaPrime*(AZ51-AZ63)))-(($BQ$18*(BA51-BA23))*(D51&lt;=$BQ$4)))/AX51)</f>
      </c>
      <c r="BF51" s="4">
        <f>ROUND((BE51*100000),0)</f>
      </c>
      <c r="BG51" s="3">
        <v>0.18508935590816333</v>
      </c>
      <c r="BH51" s="2">
        <f>MAX(BE51,BG51)</f>
      </c>
      <c r="BI51" s="2">
        <f>(($BQ$19*MAX((MIN($BQ$4,7)-D51),0))/MIN($BQ$4,7))</f>
      </c>
      <c r="BJ51" s="2">
        <f>MAX((BE51-BI51),0)</f>
      </c>
      <c r="BK51" s="2">
        <f>BJ51</f>
      </c>
      <c r="BL51" s="2">
        <f>((MIN(D51,$BQ$4)*k_freq)*$BQ$14)</f>
      </c>
      <c r="BM51" s="2">
        <f>IF(BL51=0,0,BK51/BL51)</f>
      </c>
    </row>
    <row r="52">
      <c r="D52" s="1">
        <v>49</v>
      </c>
      <c r="E52" s="1">
        <f>x_age+D52</f>
      </c>
      <c r="F52" s="3">
        <v>0.12171</v>
      </c>
      <c r="G52" s="3">
        <v>0.003283</v>
      </c>
      <c r="H52" s="3">
        <v>0.040419</v>
      </c>
      <c r="I52" s="3">
        <f>v_disc^(D52)</f>
      </c>
      <c r="J52" s="3">
        <f>v_disc^(D52+0.5)</f>
      </c>
      <c r="K52" s="2">
        <f>MIN(1,((F52+G52)-((F52*G52)/2)))</f>
      </c>
      <c r="L52" s="2">
        <f>(L51*(1-K51))</f>
      </c>
      <c r="M52" s="2">
        <f>(L52*I52)</f>
      </c>
      <c r="N52" s="2">
        <f>SUM(M52:M74)</f>
      </c>
      <c r="O52" s="2">
        <f>(1-((1-G52)*(1-H52)))</f>
      </c>
      <c r="P52" s="2">
        <f>MIN(1,((F52+O52)-((F52*O52)/2)))</f>
      </c>
      <c r="Q52" s="2">
        <f>(Q51*(1-P51))</f>
      </c>
      <c r="R52" s="2">
        <f>(Q52*I52)</f>
      </c>
      <c r="S52" s="2">
        <f>SUM(R52:R74)</f>
      </c>
      <c r="T52" s="2">
        <f>L52</f>
      </c>
      <c r="U52" s="2">
        <f>(L52*K52)</f>
      </c>
      <c r="V52" s="2">
        <f>M52</f>
      </c>
      <c r="W52" s="2">
        <f>R52</f>
      </c>
      <c r="X52" s="2">
        <f>N52</f>
      </c>
      <c r="Y52" s="2">
        <f>S52</f>
      </c>
      <c r="Z52" s="2">
        <f>1</f>
      </c>
      <c r="AA52" s="2">
        <f>((L52*K52)*J52)</f>
      </c>
      <c r="AB52" s="2">
        <f>SUMPRODUCT(Z52:Z73,AA52:AA73)</f>
      </c>
      <c r="AC52" s="2">
        <f>IF(V52=0,0,((AB52+(betaPrime*(X52-X74)))-(($BP$18*(Y52-Y23))*(D52&lt;=$BP$4)))/V52)</f>
      </c>
      <c r="AD52" s="4">
        <f>ROUND((AC52*100000),0)</f>
      </c>
      <c r="AE52" s="3">
        <v>0.8643065920170595</v>
      </c>
      <c r="AF52" s="2">
        <f>MAX(AC52,AE52)</f>
      </c>
      <c r="AG52" s="2">
        <f>(($BP$19*MAX((MIN($BP$4,7)-D52),0))/MIN($BP$4,7))</f>
      </c>
      <c r="AH52" s="2">
        <f>MAX((AC52-AG52),0)</f>
      </c>
      <c r="AI52" s="2">
        <f>AH52</f>
      </c>
      <c r="AJ52" s="2">
        <f>((MIN(D52,$BP$4)*k_freq)*$BP$14)</f>
      </c>
      <c r="AK52" s="2">
        <f>IF(AJ52=0,0,AI52/AJ52)</f>
      </c>
      <c r="AM52" s="2">
        <f>MIN(1,((F52+H52)-((F52*H52)/2)))</f>
      </c>
      <c r="AN52" s="2">
        <f>(AN51*(1-AM51))</f>
      </c>
      <c r="AO52" s="2">
        <f>(AN52*I52)</f>
      </c>
      <c r="AP52" s="2">
        <f>SUM(AO52:AO63)</f>
      </c>
      <c r="AQ52" s="2">
        <f>(1-((1-G52)*(1-H52)))</f>
      </c>
      <c r="AR52" s="2">
        <f>MIN(1,((F52+AQ52)-((F52*AQ52)/2)))</f>
      </c>
      <c r="AS52" s="2">
        <f>(AS51*(1-AR51))</f>
      </c>
      <c r="AT52" s="2">
        <f>(AS52*I52)</f>
      </c>
      <c r="AU52" s="2">
        <f>SUM(AT52:AT63)</f>
      </c>
      <c r="AV52" s="2">
        <f>AN52</f>
      </c>
      <c r="AW52" s="2">
        <f>(AN52*H52)</f>
      </c>
      <c r="AX52" s="2">
        <f>AO52</f>
      </c>
      <c r="AY52" s="2">
        <f>AT52</f>
      </c>
      <c r="AZ52" s="2">
        <f>AP52</f>
      </c>
      <c r="BA52" s="2">
        <f>AU52</f>
      </c>
      <c r="BB52" s="2">
        <f>(1*IF((D52=0),(1-(3/12)),1))</f>
      </c>
      <c r="BC52" s="2">
        <f>((AN52*H52)*J52)</f>
      </c>
      <c r="BD52" s="2">
        <f>SUMPRODUCT(BB52:BB62,BC52:BC62)</f>
      </c>
      <c r="BE52" s="2">
        <f>IF(AX52=0,0,((BD52+(betaPrime*(AZ52-AZ63)))-(($BQ$18*(BA52-BA23))*(D52&lt;=$BQ$4)))/AX52)</f>
      </c>
      <c r="BF52" s="4">
        <f>ROUND((BE52*100000),0)</f>
      </c>
      <c r="BG52" s="3">
        <v>0.17483397706292544</v>
      </c>
      <c r="BH52" s="2">
        <f>MAX(BE52,BG52)</f>
      </c>
      <c r="BI52" s="2">
        <f>(($BQ$19*MAX((MIN($BQ$4,7)-D52),0))/MIN($BQ$4,7))</f>
      </c>
      <c r="BJ52" s="2">
        <f>MAX((BE52-BI52),0)</f>
      </c>
      <c r="BK52" s="2">
        <f>BJ52</f>
      </c>
      <c r="BL52" s="2">
        <f>((MIN(D52,$BQ$4)*k_freq)*$BQ$14)</f>
      </c>
      <c r="BM52" s="2">
        <f>IF(BL52=0,0,BK52/BL52)</f>
      </c>
    </row>
    <row r="53">
      <c r="D53" s="1">
        <v>50</v>
      </c>
      <c r="E53" s="1">
        <f>x_age+D53</f>
      </c>
      <c r="F53" s="3">
        <v>0.1351</v>
      </c>
      <c r="G53" s="3">
        <v>0.003702</v>
      </c>
      <c r="H53" s="3">
        <v>0.040439</v>
      </c>
      <c r="I53" s="3">
        <f>v_disc^(D53)</f>
      </c>
      <c r="J53" s="3">
        <f>v_disc^(D53+0.5)</f>
      </c>
      <c r="K53" s="2">
        <f>MIN(1,((F53+G53)-((F53*G53)/2)))</f>
      </c>
      <c r="L53" s="2">
        <f>(L52*(1-K52))</f>
      </c>
      <c r="M53" s="2">
        <f>(L53*I53)</f>
      </c>
      <c r="N53" s="2">
        <f>SUM(M53:M74)</f>
      </c>
      <c r="O53" s="2">
        <f>(1-((1-G53)*(1-H53)))</f>
      </c>
      <c r="P53" s="2">
        <f>MIN(1,((F53+O53)-((F53*O53)/2)))</f>
      </c>
      <c r="Q53" s="2">
        <f>(Q52*(1-P52))</f>
      </c>
      <c r="R53" s="2">
        <f>(Q53*I53)</f>
      </c>
      <c r="S53" s="2">
        <f>SUM(R53:R74)</f>
      </c>
      <c r="T53" s="2">
        <f>L53</f>
      </c>
      <c r="U53" s="2">
        <f>(L53*K53)</f>
      </c>
      <c r="V53" s="2">
        <f>M53</f>
      </c>
      <c r="W53" s="2">
        <f>R53</f>
      </c>
      <c r="X53" s="2">
        <f>N53</f>
      </c>
      <c r="Y53" s="2">
        <f>S53</f>
      </c>
      <c r="Z53" s="2">
        <f>1</f>
      </c>
      <c r="AA53" s="2">
        <f>((L53*K53)*J53)</f>
      </c>
      <c r="AB53" s="2">
        <f>SUMPRODUCT(Z53:Z73,AA53:AA73)</f>
      </c>
      <c r="AC53" s="2">
        <f>IF(V53=0,0,((AB53+(betaPrime*(X53-X74)))-(($BP$18*(Y53-Y23))*(D53&lt;=$BP$4)))/V53)</f>
      </c>
      <c r="AD53" s="4">
        <f>ROUND((AC53*100000),0)</f>
      </c>
      <c r="AE53" s="3">
        <v>0.8735754556234322</v>
      </c>
      <c r="AF53" s="2">
        <f>MAX(AC53,AE53)</f>
      </c>
      <c r="AG53" s="2">
        <f>(($BP$19*MAX((MIN($BP$4,7)-D53),0))/MIN($BP$4,7))</f>
      </c>
      <c r="AH53" s="2">
        <f>MAX((AC53-AG53),0)</f>
      </c>
      <c r="AI53" s="2">
        <f>AH53</f>
      </c>
      <c r="AJ53" s="2">
        <f>((MIN(D53,$BP$4)*k_freq)*$BP$14)</f>
      </c>
      <c r="AK53" s="2">
        <f>IF(AJ53=0,0,AI53/AJ53)</f>
      </c>
      <c r="AM53" s="2">
        <f>MIN(1,((F53+H53)-((F53*H53)/2)))</f>
      </c>
      <c r="AN53" s="2">
        <f>(AN52*(1-AM52))</f>
      </c>
      <c r="AO53" s="2">
        <f>(AN53*I53)</f>
      </c>
      <c r="AP53" s="2">
        <f>SUM(AO53:AO63)</f>
      </c>
      <c r="AQ53" s="2">
        <f>(1-((1-G53)*(1-H53)))</f>
      </c>
      <c r="AR53" s="2">
        <f>MIN(1,((F53+AQ53)-((F53*AQ53)/2)))</f>
      </c>
      <c r="AS53" s="2">
        <f>(AS52*(1-AR52))</f>
      </c>
      <c r="AT53" s="2">
        <f>(AS53*I53)</f>
      </c>
      <c r="AU53" s="2">
        <f>SUM(AT53:AT63)</f>
      </c>
      <c r="AV53" s="2">
        <f>AN53</f>
      </c>
      <c r="AW53" s="2">
        <f>(AN53*H53)</f>
      </c>
      <c r="AX53" s="2">
        <f>AO53</f>
      </c>
      <c r="AY53" s="2">
        <f>AT53</f>
      </c>
      <c r="AZ53" s="2">
        <f>AP53</f>
      </c>
      <c r="BA53" s="2">
        <f>AU53</f>
      </c>
      <c r="BB53" s="2">
        <f>(1*IF((D53=0),(1-(3/12)),1))</f>
      </c>
      <c r="BC53" s="2">
        <f>((AN53*H53)*J53)</f>
      </c>
      <c r="BD53" s="2">
        <f>SUMPRODUCT(BB53:BB62,BC53:BC62)</f>
      </c>
      <c r="BE53" s="2">
        <f>IF(AX53=0,0,((BD53+(betaPrime*(AZ53-AZ63)))-(($BQ$18*(BA53-BA23))*(D53&lt;=$BQ$4)))/AX53)</f>
      </c>
      <c r="BF53" s="4">
        <f>ROUND((BE53*100000),0)</f>
      </c>
      <c r="BG53" s="3">
        <v>0.1647125642687083</v>
      </c>
      <c r="BH53" s="2">
        <f>MAX(BE53,BG53)</f>
      </c>
      <c r="BI53" s="2">
        <f>(($BQ$19*MAX((MIN($BQ$4,7)-D53),0))/MIN($BQ$4,7))</f>
      </c>
      <c r="BJ53" s="2">
        <f>MAX((BE53-BI53),0)</f>
      </c>
      <c r="BK53" s="2">
        <f>BJ53</f>
      </c>
      <c r="BL53" s="2">
        <f>((MIN(D53,$BQ$4)*k_freq)*$BQ$14)</f>
      </c>
      <c r="BM53" s="2">
        <f>IF(BL53=0,0,BK53/BL53)</f>
      </c>
    </row>
    <row r="54">
      <c r="D54" s="1">
        <v>51</v>
      </c>
      <c r="E54" s="1">
        <f>x_age+D54</f>
      </c>
      <c r="F54" s="3">
        <v>0.14969</v>
      </c>
      <c r="G54" s="3">
        <v>0.004139</v>
      </c>
      <c r="H54" s="3">
        <v>0.040446</v>
      </c>
      <c r="I54" s="3">
        <f>v_disc^(D54)</f>
      </c>
      <c r="J54" s="3">
        <f>v_disc^(D54+0.5)</f>
      </c>
      <c r="K54" s="2">
        <f>MIN(1,((F54+G54)-((F54*G54)/2)))</f>
      </c>
      <c r="L54" s="2">
        <f>(L53*(1-K53))</f>
      </c>
      <c r="M54" s="2">
        <f>(L54*I54)</f>
      </c>
      <c r="N54" s="2">
        <f>SUM(M54:M74)</f>
      </c>
      <c r="O54" s="2">
        <f>(1-((1-G54)*(1-H54)))</f>
      </c>
      <c r="P54" s="2">
        <f>MIN(1,((F54+O54)-((F54*O54)/2)))</f>
      </c>
      <c r="Q54" s="2">
        <f>(Q53*(1-P53))</f>
      </c>
      <c r="R54" s="2">
        <f>(Q54*I54)</f>
      </c>
      <c r="S54" s="2">
        <f>SUM(R54:R74)</f>
      </c>
      <c r="T54" s="2">
        <f>L54</f>
      </c>
      <c r="U54" s="2">
        <f>(L54*K54)</f>
      </c>
      <c r="V54" s="2">
        <f>M54</f>
      </c>
      <c r="W54" s="2">
        <f>R54</f>
      </c>
      <c r="X54" s="2">
        <f>N54</f>
      </c>
      <c r="Y54" s="2">
        <f>S54</f>
      </c>
      <c r="Z54" s="2">
        <f>1</f>
      </c>
      <c r="AA54" s="2">
        <f>((L54*K54)*J54)</f>
      </c>
      <c r="AB54" s="2">
        <f>SUMPRODUCT(Z54:Z73,AA54:AA73)</f>
      </c>
      <c r="AC54" s="2">
        <f>IF(V54=0,0,((AB54+(betaPrime*(X54-X74)))-(($BP$18*(Y54-Y23))*(D54&lt;=$BP$4)))/V54)</f>
      </c>
      <c r="AD54" s="4">
        <f>ROUND((AC54*100000),0)</f>
      </c>
      <c r="AE54" s="3">
        <v>0.8824081072076706</v>
      </c>
      <c r="AF54" s="2">
        <f>MAX(AC54,AE54)</f>
      </c>
      <c r="AG54" s="2">
        <f>(($BP$19*MAX((MIN($BP$4,7)-D54),0))/MIN($BP$4,7))</f>
      </c>
      <c r="AH54" s="2">
        <f>MAX((AC54-AG54),0)</f>
      </c>
      <c r="AI54" s="2">
        <f>AH54</f>
      </c>
      <c r="AJ54" s="2">
        <f>((MIN(D54,$BP$4)*k_freq)*$BP$14)</f>
      </c>
      <c r="AK54" s="2">
        <f>IF(AJ54=0,0,AI54/AJ54)</f>
      </c>
      <c r="AM54" s="2">
        <f>MIN(1,((F54+H54)-((F54*H54)/2)))</f>
      </c>
      <c r="AN54" s="2">
        <f>(AN53*(1-AM53))</f>
      </c>
      <c r="AO54" s="2">
        <f>(AN54*I54)</f>
      </c>
      <c r="AP54" s="2">
        <f>SUM(AO54:AO63)</f>
      </c>
      <c r="AQ54" s="2">
        <f>(1-((1-G54)*(1-H54)))</f>
      </c>
      <c r="AR54" s="2">
        <f>MIN(1,((F54+AQ54)-((F54*AQ54)/2)))</f>
      </c>
      <c r="AS54" s="2">
        <f>(AS53*(1-AR53))</f>
      </c>
      <c r="AT54" s="2">
        <f>(AS54*I54)</f>
      </c>
      <c r="AU54" s="2">
        <f>SUM(AT54:AT63)</f>
      </c>
      <c r="AV54" s="2">
        <f>AN54</f>
      </c>
      <c r="AW54" s="2">
        <f>(AN54*H54)</f>
      </c>
      <c r="AX54" s="2">
        <f>AO54</f>
      </c>
      <c r="AY54" s="2">
        <f>AT54</f>
      </c>
      <c r="AZ54" s="2">
        <f>AP54</f>
      </c>
      <c r="BA54" s="2">
        <f>AU54</f>
      </c>
      <c r="BB54" s="2">
        <f>(1*IF((D54=0),(1-(3/12)),1))</f>
      </c>
      <c r="BC54" s="2">
        <f>((AN54*H54)*J54)</f>
      </c>
      <c r="BD54" s="2">
        <f>SUMPRODUCT(BB54:BB62,BC54:BC62)</f>
      </c>
      <c r="BE54" s="2">
        <f>IF(AX54=0,0,((BD54+(betaPrime*(AZ54-AZ63)))-(($BQ$18*(BA54-BA23))*(D54&lt;=$BQ$4)))/AX54)</f>
      </c>
      <c r="BF54" s="4">
        <f>ROUND((BE54*100000),0)</f>
      </c>
      <c r="BG54" s="3">
        <v>0.15467055025440818</v>
      </c>
      <c r="BH54" s="2">
        <f>MAX(BE54,BG54)</f>
      </c>
      <c r="BI54" s="2">
        <f>(($BQ$19*MAX((MIN($BQ$4,7)-D54),0))/MIN($BQ$4,7))</f>
      </c>
      <c r="BJ54" s="2">
        <f>MAX((BE54-BI54),0)</f>
      </c>
      <c r="BK54" s="2">
        <f>BJ54</f>
      </c>
      <c r="BL54" s="2">
        <f>((MIN(D54,$BQ$4)*k_freq)*$BQ$14)</f>
      </c>
      <c r="BM54" s="2">
        <f>IF(BL54=0,0,BK54/BL54)</f>
      </c>
    </row>
    <row r="55">
      <c r="D55" s="1">
        <v>52</v>
      </c>
      <c r="E55" s="1">
        <f>x_age+D55</f>
      </c>
      <c r="F55" s="3">
        <v>0.16591</v>
      </c>
      <c r="G55" s="3">
        <v>0.00458</v>
      </c>
      <c r="H55" s="3">
        <v>0.040455</v>
      </c>
      <c r="I55" s="3">
        <f>v_disc^(D55)</f>
      </c>
      <c r="J55" s="3">
        <f>v_disc^(D55+0.5)</f>
      </c>
      <c r="K55" s="2">
        <f>MIN(1,((F55+G55)-((F55*G55)/2)))</f>
      </c>
      <c r="L55" s="2">
        <f>(L54*(1-K54))</f>
      </c>
      <c r="M55" s="2">
        <f>(L55*I55)</f>
      </c>
      <c r="N55" s="2">
        <f>SUM(M55:M74)</f>
      </c>
      <c r="O55" s="2">
        <f>(1-((1-G55)*(1-H55)))</f>
      </c>
      <c r="P55" s="2">
        <f>MIN(1,((F55+O55)-((F55*O55)/2)))</f>
      </c>
      <c r="Q55" s="2">
        <f>(Q54*(1-P54))</f>
      </c>
      <c r="R55" s="2">
        <f>(Q55*I55)</f>
      </c>
      <c r="S55" s="2">
        <f>SUM(R55:R74)</f>
      </c>
      <c r="T55" s="2">
        <f>L55</f>
      </c>
      <c r="U55" s="2">
        <f>(L55*K55)</f>
      </c>
      <c r="V55" s="2">
        <f>M55</f>
      </c>
      <c r="W55" s="2">
        <f>R55</f>
      </c>
      <c r="X55" s="2">
        <f>N55</f>
      </c>
      <c r="Y55" s="2">
        <f>S55</f>
      </c>
      <c r="Z55" s="2">
        <f>1</f>
      </c>
      <c r="AA55" s="2">
        <f>((L55*K55)*J55)</f>
      </c>
      <c r="AB55" s="2">
        <f>SUMPRODUCT(Z55:Z73,AA55:AA73)</f>
      </c>
      <c r="AC55" s="2">
        <f>IF(V55=0,0,((AB55+(betaPrime*(X55-X74)))-(($BP$18*(Y55-Y23))*(D55&lt;=$BP$4)))/V55)</f>
      </c>
      <c r="AD55" s="4">
        <f>ROUND((AC55*100000),0)</f>
      </c>
      <c r="AE55" s="3">
        <v>0.8908175213376297</v>
      </c>
      <c r="AF55" s="2">
        <f>MAX(AC55,AE55)</f>
      </c>
      <c r="AG55" s="2">
        <f>(($BP$19*MAX((MIN($BP$4,7)-D55),0))/MIN($BP$4,7))</f>
      </c>
      <c r="AH55" s="2">
        <f>MAX((AC55-AG55),0)</f>
      </c>
      <c r="AI55" s="2">
        <f>AH55</f>
      </c>
      <c r="AJ55" s="2">
        <f>((MIN(D55,$BP$4)*k_freq)*$BP$14)</f>
      </c>
      <c r="AK55" s="2">
        <f>IF(AJ55=0,0,AI55/AJ55)</f>
      </c>
      <c r="AM55" s="2">
        <f>MIN(1,((F55+H55)-((F55*H55)/2)))</f>
      </c>
      <c r="AN55" s="2">
        <f>(AN54*(1-AM54))</f>
      </c>
      <c r="AO55" s="2">
        <f>(AN55*I55)</f>
      </c>
      <c r="AP55" s="2">
        <f>SUM(AO55:AO63)</f>
      </c>
      <c r="AQ55" s="2">
        <f>(1-((1-G55)*(1-H55)))</f>
      </c>
      <c r="AR55" s="2">
        <f>MIN(1,((F55+AQ55)-((F55*AQ55)/2)))</f>
      </c>
      <c r="AS55" s="2">
        <f>(AS54*(1-AR54))</f>
      </c>
      <c r="AT55" s="2">
        <f>(AS55*I55)</f>
      </c>
      <c r="AU55" s="2">
        <f>SUM(AT55:AT63)</f>
      </c>
      <c r="AV55" s="2">
        <f>AN55</f>
      </c>
      <c r="AW55" s="2">
        <f>(AN55*H55)</f>
      </c>
      <c r="AX55" s="2">
        <f>AO55</f>
      </c>
      <c r="AY55" s="2">
        <f>AT55</f>
      </c>
      <c r="AZ55" s="2">
        <f>AP55</f>
      </c>
      <c r="BA55" s="2">
        <f>AU55</f>
      </c>
      <c r="BB55" s="2">
        <f>(1*IF((D55=0),(1-(3/12)),1))</f>
      </c>
      <c r="BC55" s="2">
        <f>((AN55*H55)*J55)</f>
      </c>
      <c r="BD55" s="2">
        <f>SUMPRODUCT(BB55:BB62,BC55:BC62)</f>
      </c>
      <c r="BE55" s="2">
        <f>IF(AX55=0,0,((BD55+(betaPrime*(AZ55-AZ63)))-(($BQ$18*(BA55-BA23))*(D55&lt;=$BQ$4)))/AX55)</f>
      </c>
      <c r="BF55" s="4">
        <f>ROUND((BE55*100000),0)</f>
      </c>
      <c r="BG55" s="3">
        <v>0.14462803077048167</v>
      </c>
      <c r="BH55" s="2">
        <f>MAX(BE55,BG55)</f>
      </c>
      <c r="BI55" s="2">
        <f>(($BQ$19*MAX((MIN($BQ$4,7)-D55),0))/MIN($BQ$4,7))</f>
      </c>
      <c r="BJ55" s="2">
        <f>MAX((BE55-BI55),0)</f>
      </c>
      <c r="BK55" s="2">
        <f>BJ55</f>
      </c>
      <c r="BL55" s="2">
        <f>((MIN(D55,$BQ$4)*k_freq)*$BQ$14)</f>
      </c>
      <c r="BM55" s="2">
        <f>IF(BL55=0,0,BK55/BL55)</f>
      </c>
    </row>
    <row r="56">
      <c r="D56" s="1">
        <v>53</v>
      </c>
      <c r="E56" s="1">
        <f>x_age+D56</f>
      </c>
      <c r="F56" s="3">
        <v>0.18379</v>
      </c>
      <c r="G56" s="3">
        <v>0.005006</v>
      </c>
      <c r="H56" s="3">
        <v>0.040466</v>
      </c>
      <c r="I56" s="3">
        <f>v_disc^(D56)</f>
      </c>
      <c r="J56" s="3">
        <f>v_disc^(D56+0.5)</f>
      </c>
      <c r="K56" s="2">
        <f>MIN(1,((F56+G56)-((F56*G56)/2)))</f>
      </c>
      <c r="L56" s="2">
        <f>(L55*(1-K55))</f>
      </c>
      <c r="M56" s="2">
        <f>(L56*I56)</f>
      </c>
      <c r="N56" s="2">
        <f>SUM(M56:M74)</f>
      </c>
      <c r="O56" s="2">
        <f>(1-((1-G56)*(1-H56)))</f>
      </c>
      <c r="P56" s="2">
        <f>MIN(1,((F56+O56)-((F56*O56)/2)))</f>
      </c>
      <c r="Q56" s="2">
        <f>(Q55*(1-P55))</f>
      </c>
      <c r="R56" s="2">
        <f>(Q56*I56)</f>
      </c>
      <c r="S56" s="2">
        <f>SUM(R56:R74)</f>
      </c>
      <c r="T56" s="2">
        <f>L56</f>
      </c>
      <c r="U56" s="2">
        <f>(L56*K56)</f>
      </c>
      <c r="V56" s="2">
        <f>M56</f>
      </c>
      <c r="W56" s="2">
        <f>R56</f>
      </c>
      <c r="X56" s="2">
        <f>N56</f>
      </c>
      <c r="Y56" s="2">
        <f>S56</f>
      </c>
      <c r="Z56" s="2">
        <f>1</f>
      </c>
      <c r="AA56" s="2">
        <f>((L56*K56)*J56)</f>
      </c>
      <c r="AB56" s="2">
        <f>SUMPRODUCT(Z56:Z73,AA56:AA73)</f>
      </c>
      <c r="AC56" s="2">
        <f>IF(V56=0,0,((AB56+(betaPrime*(X56-X74)))-(($BP$18*(Y56-Y23))*(D56&lt;=$BP$4)))/V56)</f>
      </c>
      <c r="AD56" s="4">
        <f>ROUND((AC56*100000),0)</f>
      </c>
      <c r="AE56" s="3">
        <v>0.8987750155286245</v>
      </c>
      <c r="AF56" s="2">
        <f>MAX(AC56,AE56)</f>
      </c>
      <c r="AG56" s="2">
        <f>(($BP$19*MAX((MIN($BP$4,7)-D56),0))/MIN($BP$4,7))</f>
      </c>
      <c r="AH56" s="2">
        <f>MAX((AC56-AG56),0)</f>
      </c>
      <c r="AI56" s="2">
        <f>AH56</f>
      </c>
      <c r="AJ56" s="2">
        <f>((MIN(D56,$BP$4)*k_freq)*$BP$14)</f>
      </c>
      <c r="AK56" s="2">
        <f>IF(AJ56=0,0,AI56/AJ56)</f>
      </c>
      <c r="AM56" s="2">
        <f>MIN(1,((F56+H56)-((F56*H56)/2)))</f>
      </c>
      <c r="AN56" s="2">
        <f>(AN55*(1-AM55))</f>
      </c>
      <c r="AO56" s="2">
        <f>(AN56*I56)</f>
      </c>
      <c r="AP56" s="2">
        <f>SUM(AO56:AO63)</f>
      </c>
      <c r="AQ56" s="2">
        <f>(1-((1-G56)*(1-H56)))</f>
      </c>
      <c r="AR56" s="2">
        <f>MIN(1,((F56+AQ56)-((F56*AQ56)/2)))</f>
      </c>
      <c r="AS56" s="2">
        <f>(AS55*(1-AR55))</f>
      </c>
      <c r="AT56" s="2">
        <f>(AS56*I56)</f>
      </c>
      <c r="AU56" s="2">
        <f>SUM(AT56:AT63)</f>
      </c>
      <c r="AV56" s="2">
        <f>AN56</f>
      </c>
      <c r="AW56" s="2">
        <f>(AN56*H56)</f>
      </c>
      <c r="AX56" s="2">
        <f>AO56</f>
      </c>
      <c r="AY56" s="2">
        <f>AT56</f>
      </c>
      <c r="AZ56" s="2">
        <f>AP56</f>
      </c>
      <c r="BA56" s="2">
        <f>AU56</f>
      </c>
      <c r="BB56" s="2">
        <f>(1*IF((D56=0),(1-(3/12)),1))</f>
      </c>
      <c r="BC56" s="2">
        <f>((AN56*H56)*J56)</f>
      </c>
      <c r="BD56" s="2">
        <f>SUMPRODUCT(BB56:BB62,BC56:BC62)</f>
      </c>
      <c r="BE56" s="2">
        <f>IF(AX56=0,0,((BD56+(betaPrime*(AZ56-AZ63)))-(($BQ$18*(BA56-BA23))*(D56&lt;=$BQ$4)))/AX56)</f>
      </c>
      <c r="BF56" s="4">
        <f>ROUND((BE56*100000),0)</f>
      </c>
      <c r="BG56" s="3">
        <v>0.13449187222071177</v>
      </c>
      <c r="BH56" s="2">
        <f>MAX(BE56,BG56)</f>
      </c>
      <c r="BI56" s="2">
        <f>(($BQ$19*MAX((MIN($BQ$4,7)-D56),0))/MIN($BQ$4,7))</f>
      </c>
      <c r="BJ56" s="2">
        <f>MAX((BE56-BI56),0)</f>
      </c>
      <c r="BK56" s="2">
        <f>BJ56</f>
      </c>
      <c r="BL56" s="2">
        <f>((MIN(D56,$BQ$4)*k_freq)*$BQ$14)</f>
      </c>
      <c r="BM56" s="2">
        <f>IF(BL56=0,0,BK56/BL56)</f>
      </c>
    </row>
    <row r="57">
      <c r="D57" s="1">
        <v>54</v>
      </c>
      <c r="E57" s="1">
        <f>x_age+D57</f>
      </c>
      <c r="F57" s="3">
        <v>0.20317</v>
      </c>
      <c r="G57" s="3">
        <v>0.005402</v>
      </c>
      <c r="H57" s="3">
        <v>0.04047</v>
      </c>
      <c r="I57" s="3">
        <f>v_disc^(D57)</f>
      </c>
      <c r="J57" s="3">
        <f>v_disc^(D57+0.5)</f>
      </c>
      <c r="K57" s="2">
        <f>MIN(1,((F57+G57)-((F57*G57)/2)))</f>
      </c>
      <c r="L57" s="2">
        <f>(L56*(1-K56))</f>
      </c>
      <c r="M57" s="2">
        <f>(L57*I57)</f>
      </c>
      <c r="N57" s="2">
        <f>SUM(M57:M74)</f>
      </c>
      <c r="O57" s="2">
        <f>(1-((1-G57)*(1-H57)))</f>
      </c>
      <c r="P57" s="2">
        <f>MIN(1,((F57+O57)-((F57*O57)/2)))</f>
      </c>
      <c r="Q57" s="2">
        <f>(Q56*(1-P56))</f>
      </c>
      <c r="R57" s="2">
        <f>(Q57*I57)</f>
      </c>
      <c r="S57" s="2">
        <f>SUM(R57:R74)</f>
      </c>
      <c r="T57" s="2">
        <f>L57</f>
      </c>
      <c r="U57" s="2">
        <f>(L57*K57)</f>
      </c>
      <c r="V57" s="2">
        <f>M57</f>
      </c>
      <c r="W57" s="2">
        <f>R57</f>
      </c>
      <c r="X57" s="2">
        <f>N57</f>
      </c>
      <c r="Y57" s="2">
        <f>S57</f>
      </c>
      <c r="Z57" s="2">
        <f>1</f>
      </c>
      <c r="AA57" s="2">
        <f>((L57*K57)*J57)</f>
      </c>
      <c r="AB57" s="2">
        <f>SUMPRODUCT(Z57:Z73,AA57:AA73)</f>
      </c>
      <c r="AC57" s="2">
        <f>IF(V57=0,0,((AB57+(betaPrime*(X57-X74)))-(($BP$18*(Y57-Y23))*(D57&lt;=$BP$4)))/V57)</f>
      </c>
      <c r="AD57" s="4">
        <f>ROUND((AC57*100000),0)</f>
      </c>
      <c r="AE57" s="3">
        <v>0.906262587249033</v>
      </c>
      <c r="AF57" s="2">
        <f>MAX(AC57,AE57)</f>
      </c>
      <c r="AG57" s="2">
        <f>(($BP$19*MAX((MIN($BP$4,7)-D57),0))/MIN($BP$4,7))</f>
      </c>
      <c r="AH57" s="2">
        <f>MAX((AC57-AG57),0)</f>
      </c>
      <c r="AI57" s="2">
        <f>AH57</f>
      </c>
      <c r="AJ57" s="2">
        <f>((MIN(D57,$BP$4)*k_freq)*$BP$14)</f>
      </c>
      <c r="AK57" s="2">
        <f>IF(AJ57=0,0,AI57/AJ57)</f>
      </c>
      <c r="AM57" s="2">
        <f>MIN(1,((F57+H57)-((F57*H57)/2)))</f>
      </c>
      <c r="AN57" s="2">
        <f>(AN56*(1-AM56))</f>
      </c>
      <c r="AO57" s="2">
        <f>(AN57*I57)</f>
      </c>
      <c r="AP57" s="2">
        <f>SUM(AO57:AO63)</f>
      </c>
      <c r="AQ57" s="2">
        <f>(1-((1-G57)*(1-H57)))</f>
      </c>
      <c r="AR57" s="2">
        <f>MIN(1,((F57+AQ57)-((F57*AQ57)/2)))</f>
      </c>
      <c r="AS57" s="2">
        <f>(AS56*(1-AR56))</f>
      </c>
      <c r="AT57" s="2">
        <f>(AS57*I57)</f>
      </c>
      <c r="AU57" s="2">
        <f>SUM(AT57:AT63)</f>
      </c>
      <c r="AV57" s="2">
        <f>AN57</f>
      </c>
      <c r="AW57" s="2">
        <f>(AN57*H57)</f>
      </c>
      <c r="AX57" s="2">
        <f>AO57</f>
      </c>
      <c r="AY57" s="2">
        <f>AT57</f>
      </c>
      <c r="AZ57" s="2">
        <f>AP57</f>
      </c>
      <c r="BA57" s="2">
        <f>AU57</f>
      </c>
      <c r="BB57" s="2">
        <f>(1*IF((D57=0),(1-(3/12)),1))</f>
      </c>
      <c r="BC57" s="2">
        <f>((AN57*H57)*J57)</f>
      </c>
      <c r="BD57" s="2">
        <f>SUMPRODUCT(BB57:BB62,BC57:BC62)</f>
      </c>
      <c r="BE57" s="2">
        <f>IF(AX57=0,0,((BD57+(betaPrime*(AZ57-AZ63)))-(($BQ$18*(BA57-BA23))*(D57&lt;=$BQ$4)))/AX57)</f>
      </c>
      <c r="BF57" s="4">
        <f>ROUND((BE57*100000),0)</f>
      </c>
      <c r="BG57" s="3">
        <v>0.12407528005356304</v>
      </c>
      <c r="BH57" s="2">
        <f>MAX(BE57,BG57)</f>
      </c>
      <c r="BI57" s="2">
        <f>(($BQ$19*MAX((MIN($BQ$4,7)-D57),0))/MIN($BQ$4,7))</f>
      </c>
      <c r="BJ57" s="2">
        <f>MAX((BE57-BI57),0)</f>
      </c>
      <c r="BK57" s="2">
        <f>BJ57</f>
      </c>
      <c r="BL57" s="2">
        <f>((MIN(D57,$BQ$4)*k_freq)*$BQ$14)</f>
      </c>
      <c r="BM57" s="2">
        <f>IF(BL57=0,0,BK57/BL57)</f>
      </c>
    </row>
    <row r="58">
      <c r="D58" s="1">
        <v>55</v>
      </c>
      <c r="E58" s="1">
        <f>x_age+D58</f>
      </c>
      <c r="F58" s="3">
        <v>0.22392</v>
      </c>
      <c r="G58" s="3">
        <v>0.005759</v>
      </c>
      <c r="H58" s="3">
        <v>0.040472</v>
      </c>
      <c r="I58" s="3">
        <f>v_disc^(D58)</f>
      </c>
      <c r="J58" s="3">
        <f>v_disc^(D58+0.5)</f>
      </c>
      <c r="K58" s="2">
        <f>MIN(1,((F58+G58)-((F58*G58)/2)))</f>
      </c>
      <c r="L58" s="2">
        <f>(L57*(1-K57))</f>
      </c>
      <c r="M58" s="2">
        <f>(L58*I58)</f>
      </c>
      <c r="N58" s="2">
        <f>SUM(M58:M74)</f>
      </c>
      <c r="O58" s="2">
        <f>(1-((1-G58)*(1-H58)))</f>
      </c>
      <c r="P58" s="2">
        <f>MIN(1,((F58+O58)-((F58*O58)/2)))</f>
      </c>
      <c r="Q58" s="2">
        <f>(Q57*(1-P57))</f>
      </c>
      <c r="R58" s="2">
        <f>(Q58*I58)</f>
      </c>
      <c r="S58" s="2">
        <f>SUM(R58:R74)</f>
      </c>
      <c r="T58" s="2">
        <f>L58</f>
      </c>
      <c r="U58" s="2">
        <f>(L58*K58)</f>
      </c>
      <c r="V58" s="2">
        <f>M58</f>
      </c>
      <c r="W58" s="2">
        <f>R58</f>
      </c>
      <c r="X58" s="2">
        <f>N58</f>
      </c>
      <c r="Y58" s="2">
        <f>S58</f>
      </c>
      <c r="Z58" s="2">
        <f>1</f>
      </c>
      <c r="AA58" s="2">
        <f>((L58*K58)*J58)</f>
      </c>
      <c r="AB58" s="2">
        <f>SUMPRODUCT(Z58:Z73,AA58:AA73)</f>
      </c>
      <c r="AC58" s="2">
        <f>IF(V58=0,0,((AB58+(betaPrime*(X58-X74)))-(($BP$18*(Y58-Y23))*(D58&lt;=$BP$4)))/V58)</f>
      </c>
      <c r="AD58" s="4">
        <f>ROUND((AC58*100000),0)</f>
      </c>
      <c r="AE58" s="3">
        <v>0.9132932537377983</v>
      </c>
      <c r="AF58" s="2">
        <f>MAX(AC58,AE58)</f>
      </c>
      <c r="AG58" s="2">
        <f>(($BP$19*MAX((MIN($BP$4,7)-D58),0))/MIN($BP$4,7))</f>
      </c>
      <c r="AH58" s="2">
        <f>MAX((AC58-AG58),0)</f>
      </c>
      <c r="AI58" s="2">
        <f>AH58</f>
      </c>
      <c r="AJ58" s="2">
        <f>((MIN(D58,$BP$4)*k_freq)*$BP$14)</f>
      </c>
      <c r="AK58" s="2">
        <f>IF(AJ58=0,0,AI58/AJ58)</f>
      </c>
      <c r="AM58" s="2">
        <f>MIN(1,((F58+H58)-((F58*H58)/2)))</f>
      </c>
      <c r="AN58" s="2">
        <f>(AN57*(1-AM57))</f>
      </c>
      <c r="AO58" s="2">
        <f>(AN58*I58)</f>
      </c>
      <c r="AP58" s="2">
        <f>SUM(AO58:AO63)</f>
      </c>
      <c r="AQ58" s="2">
        <f>(1-((1-G58)*(1-H58)))</f>
      </c>
      <c r="AR58" s="2">
        <f>MIN(1,((F58+AQ58)-((F58*AQ58)/2)))</f>
      </c>
      <c r="AS58" s="2">
        <f>(AS57*(1-AR57))</f>
      </c>
      <c r="AT58" s="2">
        <f>(AS58*I58)</f>
      </c>
      <c r="AU58" s="2">
        <f>SUM(AT58:AT63)</f>
      </c>
      <c r="AV58" s="2">
        <f>AN58</f>
      </c>
      <c r="AW58" s="2">
        <f>(AN58*H58)</f>
      </c>
      <c r="AX58" s="2">
        <f>AO58</f>
      </c>
      <c r="AY58" s="2">
        <f>AT58</f>
      </c>
      <c r="AZ58" s="2">
        <f>AP58</f>
      </c>
      <c r="BA58" s="2">
        <f>AU58</f>
      </c>
      <c r="BB58" s="2">
        <f>(1*IF((D58=0),(1-(3/12)),1))</f>
      </c>
      <c r="BC58" s="2">
        <f>((AN58*H58)*J58)</f>
      </c>
      <c r="BD58" s="2">
        <f>SUMPRODUCT(BB58:BB62,BC58:BC62)</f>
      </c>
      <c r="BE58" s="2">
        <f>IF(AX58=0,0,((BD58+(betaPrime*(AZ58-AZ63)))-(($BQ$18*(BA58-BA23))*(D58&lt;=$BQ$4)))/AX58)</f>
      </c>
      <c r="BF58" s="4">
        <f>ROUND((BE58*100000),0)</f>
      </c>
      <c r="BG58" s="3">
        <v>0.11302578398484638</v>
      </c>
      <c r="BH58" s="2">
        <f>MAX(BE58,BG58)</f>
      </c>
      <c r="BI58" s="2">
        <f>(($BQ$19*MAX((MIN($BQ$4,7)-D58),0))/MIN($BQ$4,7))</f>
      </c>
      <c r="BJ58" s="2">
        <f>MAX((BE58-BI58),0)</f>
      </c>
      <c r="BK58" s="2">
        <f>BJ58</f>
      </c>
      <c r="BL58" s="2">
        <f>((MIN(D58,$BQ$4)*k_freq)*$BQ$14)</f>
      </c>
      <c r="BM58" s="2">
        <f>IF(BL58=0,0,BK58/BL58)</f>
      </c>
    </row>
    <row r="59">
      <c r="D59" s="1">
        <v>56</v>
      </c>
      <c r="E59" s="1">
        <f>x_age+D59</f>
      </c>
      <c r="F59" s="3">
        <v>0.24623</v>
      </c>
      <c r="G59" s="3">
        <v>0.006077</v>
      </c>
      <c r="H59" s="3">
        <v>0.040473</v>
      </c>
      <c r="I59" s="3">
        <f>v_disc^(D59)</f>
      </c>
      <c r="J59" s="3">
        <f>v_disc^(D59+0.5)</f>
      </c>
      <c r="K59" s="2">
        <f>MIN(1,((F59+G59)-((F59*G59)/2)))</f>
      </c>
      <c r="L59" s="2">
        <f>(L58*(1-K58))</f>
      </c>
      <c r="M59" s="2">
        <f>(L59*I59)</f>
      </c>
      <c r="N59" s="2">
        <f>SUM(M59:M74)</f>
      </c>
      <c r="O59" s="2">
        <f>(1-((1-G59)*(1-H59)))</f>
      </c>
      <c r="P59" s="2">
        <f>MIN(1,((F59+O59)-((F59*O59)/2)))</f>
      </c>
      <c r="Q59" s="2">
        <f>(Q58*(1-P58))</f>
      </c>
      <c r="R59" s="2">
        <f>(Q59*I59)</f>
      </c>
      <c r="S59" s="2">
        <f>SUM(R59:R74)</f>
      </c>
      <c r="T59" s="2">
        <f>L59</f>
      </c>
      <c r="U59" s="2">
        <f>(L59*K59)</f>
      </c>
      <c r="V59" s="2">
        <f>M59</f>
      </c>
      <c r="W59" s="2">
        <f>R59</f>
      </c>
      <c r="X59" s="2">
        <f>N59</f>
      </c>
      <c r="Y59" s="2">
        <f>S59</f>
      </c>
      <c r="Z59" s="2">
        <f>1</f>
      </c>
      <c r="AA59" s="2">
        <f>((L59*K59)*J59)</f>
      </c>
      <c r="AB59" s="2">
        <f>SUMPRODUCT(Z59:Z73,AA59:AA73)</f>
      </c>
      <c r="AC59" s="2">
        <f>IF(V59=0,0,((AB59+(betaPrime*(X59-X74)))-(($BP$18*(Y59-Y23))*(D59&lt;=$BP$4)))/V59)</f>
      </c>
      <c r="AD59" s="4">
        <f>ROUND((AC59*100000),0)</f>
      </c>
      <c r="AE59" s="3">
        <v>0.9199066088531687</v>
      </c>
      <c r="AF59" s="2">
        <f>MAX(AC59,AE59)</f>
      </c>
      <c r="AG59" s="2">
        <f>(($BP$19*MAX((MIN($BP$4,7)-D59),0))/MIN($BP$4,7))</f>
      </c>
      <c r="AH59" s="2">
        <f>MAX((AC59-AG59),0)</f>
      </c>
      <c r="AI59" s="2">
        <f>AH59</f>
      </c>
      <c r="AJ59" s="2">
        <f>((MIN(D59,$BP$4)*k_freq)*$BP$14)</f>
      </c>
      <c r="AK59" s="2">
        <f>IF(AJ59=0,0,AI59/AJ59)</f>
      </c>
      <c r="AM59" s="2">
        <f>MIN(1,((F59+H59)-((F59*H59)/2)))</f>
      </c>
      <c r="AN59" s="2">
        <f>(AN58*(1-AM58))</f>
      </c>
      <c r="AO59" s="2">
        <f>(AN59*I59)</f>
      </c>
      <c r="AP59" s="2">
        <f>SUM(AO59:AO63)</f>
      </c>
      <c r="AQ59" s="2">
        <f>(1-((1-G59)*(1-H59)))</f>
      </c>
      <c r="AR59" s="2">
        <f>MIN(1,((F59+AQ59)-((F59*AQ59)/2)))</f>
      </c>
      <c r="AS59" s="2">
        <f>(AS58*(1-AR58))</f>
      </c>
      <c r="AT59" s="2">
        <f>(AS59*I59)</f>
      </c>
      <c r="AU59" s="2">
        <f>SUM(AT59:AT63)</f>
      </c>
      <c r="AV59" s="2">
        <f>AN59</f>
      </c>
      <c r="AW59" s="2">
        <f>(AN59*H59)</f>
      </c>
      <c r="AX59" s="2">
        <f>AO59</f>
      </c>
      <c r="AY59" s="2">
        <f>AT59</f>
      </c>
      <c r="AZ59" s="2">
        <f>AP59</f>
      </c>
      <c r="BA59" s="2">
        <f>AU59</f>
      </c>
      <c r="BB59" s="2">
        <f>(1*IF((D59=0),(1-(3/12)),1))</f>
      </c>
      <c r="BC59" s="2">
        <f>((AN59*H59)*J59)</f>
      </c>
      <c r="BD59" s="2">
        <f>SUMPRODUCT(BB59:BB62,BC59:BC62)</f>
      </c>
      <c r="BE59" s="2">
        <f>IF(AX59=0,0,((BD59+(betaPrime*(AZ59-AZ63)))-(($BQ$18*(BA59-BA23))*(D59&lt;=$BQ$4)))/AX59)</f>
      </c>
      <c r="BF59" s="4">
        <f>ROUND((BE59*100000),0)</f>
      </c>
      <c r="BG59" s="3">
        <v>0.10071376557346126</v>
      </c>
      <c r="BH59" s="2">
        <f>MAX(BE59,BG59)</f>
      </c>
      <c r="BI59" s="2">
        <f>(($BQ$19*MAX((MIN($BQ$4,7)-D59),0))/MIN($BQ$4,7))</f>
      </c>
      <c r="BJ59" s="2">
        <f>MAX((BE59-BI59),0)</f>
      </c>
      <c r="BK59" s="2">
        <f>BJ59</f>
      </c>
      <c r="BL59" s="2">
        <f>((MIN(D59,$BQ$4)*k_freq)*$BQ$14)</f>
      </c>
      <c r="BM59" s="2">
        <f>IF(BL59=0,0,BK59/BL59)</f>
      </c>
    </row>
    <row r="60">
      <c r="D60" s="1">
        <v>57</v>
      </c>
      <c r="E60" s="1">
        <f>x_age+D60</f>
      </c>
      <c r="F60" s="3">
        <v>0.27053</v>
      </c>
      <c r="G60" s="3">
        <v>0.006363</v>
      </c>
      <c r="H60" s="3">
        <v>0.040474</v>
      </c>
      <c r="I60" s="3">
        <f>v_disc^(D60)</f>
      </c>
      <c r="J60" s="3">
        <f>v_disc^(D60+0.5)</f>
      </c>
      <c r="K60" s="2">
        <f>MIN(1,((F60+G60)-((F60*G60)/2)))</f>
      </c>
      <c r="L60" s="2">
        <f>(L59*(1-K59))</f>
      </c>
      <c r="M60" s="2">
        <f>(L60*I60)</f>
      </c>
      <c r="N60" s="2">
        <f>SUM(M60:M74)</f>
      </c>
      <c r="O60" s="2">
        <f>(1-((1-G60)*(1-H60)))</f>
      </c>
      <c r="P60" s="2">
        <f>MIN(1,((F60+O60)-((F60*O60)/2)))</f>
      </c>
      <c r="Q60" s="2">
        <f>(Q59*(1-P59))</f>
      </c>
      <c r="R60" s="2">
        <f>(Q60*I60)</f>
      </c>
      <c r="S60" s="2">
        <f>SUM(R60:R74)</f>
      </c>
      <c r="T60" s="2">
        <f>L60</f>
      </c>
      <c r="U60" s="2">
        <f>(L60*K60)</f>
      </c>
      <c r="V60" s="2">
        <f>M60</f>
      </c>
      <c r="W60" s="2">
        <f>R60</f>
      </c>
      <c r="X60" s="2">
        <f>N60</f>
      </c>
      <c r="Y60" s="2">
        <f>S60</f>
      </c>
      <c r="Z60" s="2">
        <f>1</f>
      </c>
      <c r="AA60" s="2">
        <f>((L60*K60)*J60)</f>
      </c>
      <c r="AB60" s="2">
        <f>SUMPRODUCT(Z60:Z73,AA60:AA73)</f>
      </c>
      <c r="AC60" s="2">
        <f>IF(V60=0,0,((AB60+(betaPrime*(X60-X74)))-(($BP$18*(Y60-Y23))*(D60&lt;=$BP$4)))/V60)</f>
      </c>
      <c r="AD60" s="4">
        <f>ROUND((AC60*100000),0)</f>
      </c>
      <c r="AE60" s="3">
        <v>0.9261343777564999</v>
      </c>
      <c r="AF60" s="2">
        <f>MAX(AC60,AE60)</f>
      </c>
      <c r="AG60" s="2">
        <f>(($BP$19*MAX((MIN($BP$4,7)-D60),0))/MIN($BP$4,7))</f>
      </c>
      <c r="AH60" s="2">
        <f>MAX((AC60-AG60),0)</f>
      </c>
      <c r="AI60" s="2">
        <f>AH60</f>
      </c>
      <c r="AJ60" s="2">
        <f>((MIN(D60,$BP$4)*k_freq)*$BP$14)</f>
      </c>
      <c r="AK60" s="2">
        <f>IF(AJ60=0,0,AI60/AJ60)</f>
      </c>
      <c r="AM60" s="2">
        <f>MIN(1,((F60+H60)-((F60*H60)/2)))</f>
      </c>
      <c r="AN60" s="2">
        <f>(AN59*(1-AM59))</f>
      </c>
      <c r="AO60" s="2">
        <f>(AN60*I60)</f>
      </c>
      <c r="AP60" s="2">
        <f>SUM(AO60:AO63)</f>
      </c>
      <c r="AQ60" s="2">
        <f>(1-((1-G60)*(1-H60)))</f>
      </c>
      <c r="AR60" s="2">
        <f>MIN(1,((F60+AQ60)-((F60*AQ60)/2)))</f>
      </c>
      <c r="AS60" s="2">
        <f>(AS59*(1-AR59))</f>
      </c>
      <c r="AT60" s="2">
        <f>(AS60*I60)</f>
      </c>
      <c r="AU60" s="2">
        <f>SUM(AT60:AT63)</f>
      </c>
      <c r="AV60" s="2">
        <f>AN60</f>
      </c>
      <c r="AW60" s="2">
        <f>(AN60*H60)</f>
      </c>
      <c r="AX60" s="2">
        <f>AO60</f>
      </c>
      <c r="AY60" s="2">
        <f>AT60</f>
      </c>
      <c r="AZ60" s="2">
        <f>AP60</f>
      </c>
      <c r="BA60" s="2">
        <f>AU60</f>
      </c>
      <c r="BB60" s="2">
        <f>(1*IF((D60=0),(1-(3/12)),1))</f>
      </c>
      <c r="BC60" s="2">
        <f>((AN60*H60)*J60)</f>
      </c>
      <c r="BD60" s="2">
        <f>SUMPRODUCT(BB60:BB62,BC60:BC62)</f>
      </c>
      <c r="BE60" s="2">
        <f>IF(AX60=0,0,((BD60+(betaPrime*(AZ60-AZ63)))-(($BQ$18*(BA60-BA23))*(D60&lt;=$BQ$4)))/AX60)</f>
      </c>
      <c r="BF60" s="4">
        <f>ROUND((BE60*100000),0)</f>
      </c>
      <c r="BG60" s="3">
        <v>0.08607931396690927</v>
      </c>
      <c r="BH60" s="2">
        <f>MAX(BE60,BG60)</f>
      </c>
      <c r="BI60" s="2">
        <f>(($BQ$19*MAX((MIN($BQ$4,7)-D60),0))/MIN($BQ$4,7))</f>
      </c>
      <c r="BJ60" s="2">
        <f>MAX((BE60-BI60),0)</f>
      </c>
      <c r="BK60" s="2">
        <f>BJ60</f>
      </c>
      <c r="BL60" s="2">
        <f>((MIN(D60,$BQ$4)*k_freq)*$BQ$14)</f>
      </c>
      <c r="BM60" s="2">
        <f>IF(BL60=0,0,BK60/BL60)</f>
      </c>
    </row>
    <row r="61">
      <c r="D61" s="1">
        <v>58</v>
      </c>
      <c r="E61" s="1">
        <f>x_age+D61</f>
      </c>
      <c r="F61" s="3">
        <v>0.29699</v>
      </c>
      <c r="G61" s="3">
        <v>0.006638</v>
      </c>
      <c r="H61" s="3">
        <v>0.040474</v>
      </c>
      <c r="I61" s="3">
        <f>v_disc^(D61)</f>
      </c>
      <c r="J61" s="3">
        <f>v_disc^(D61+0.5)</f>
      </c>
      <c r="K61" s="2">
        <f>MIN(1,((F61+G61)-((F61*G61)/2)))</f>
      </c>
      <c r="L61" s="2">
        <f>(L60*(1-K60))</f>
      </c>
      <c r="M61" s="2">
        <f>(L61*I61)</f>
      </c>
      <c r="N61" s="2">
        <f>SUM(M61:M74)</f>
      </c>
      <c r="O61" s="2">
        <f>(1-((1-G61)*(1-H61)))</f>
      </c>
      <c r="P61" s="2">
        <f>MIN(1,((F61+O61)-((F61*O61)/2)))</f>
      </c>
      <c r="Q61" s="2">
        <f>(Q60*(1-P60))</f>
      </c>
      <c r="R61" s="2">
        <f>(Q61*I61)</f>
      </c>
      <c r="S61" s="2">
        <f>SUM(R61:R74)</f>
      </c>
      <c r="T61" s="2">
        <f>L61</f>
      </c>
      <c r="U61" s="2">
        <f>(L61*K61)</f>
      </c>
      <c r="V61" s="2">
        <f>M61</f>
      </c>
      <c r="W61" s="2">
        <f>R61</f>
      </c>
      <c r="X61" s="2">
        <f>N61</f>
      </c>
      <c r="Y61" s="2">
        <f>S61</f>
      </c>
      <c r="Z61" s="2">
        <f>1</f>
      </c>
      <c r="AA61" s="2">
        <f>((L61*K61)*J61)</f>
      </c>
      <c r="AB61" s="2">
        <f>SUMPRODUCT(Z61:Z73,AA61:AA73)</f>
      </c>
      <c r="AC61" s="2">
        <f>IF(V61=0,0,((AB61+(betaPrime*(X61-X74)))-(($BP$18*(Y61-Y23))*(D61&lt;=$BP$4)))/V61)</f>
      </c>
      <c r="AD61" s="4">
        <f>ROUND((AC61*100000),0)</f>
      </c>
      <c r="AE61" s="3">
        <v>0.9319742908976832</v>
      </c>
      <c r="AF61" s="2">
        <f>MAX(AC61,AE61)</f>
      </c>
      <c r="AG61" s="2">
        <f>(($BP$19*MAX((MIN($BP$4,7)-D61),0))/MIN($BP$4,7))</f>
      </c>
      <c r="AH61" s="2">
        <f>MAX((AC61-AG61),0)</f>
      </c>
      <c r="AI61" s="2">
        <f>AH61</f>
      </c>
      <c r="AJ61" s="2">
        <f>((MIN(D61,$BP$4)*k_freq)*$BP$14)</f>
      </c>
      <c r="AK61" s="2">
        <f>IF(AJ61=0,0,AI61/AJ61)</f>
      </c>
      <c r="AM61" s="2">
        <f>MIN(1,((F61+H61)-((F61*H61)/2)))</f>
      </c>
      <c r="AN61" s="2">
        <f>(AN60*(1-AM60))</f>
      </c>
      <c r="AO61" s="2">
        <f>(AN61*I61)</f>
      </c>
      <c r="AP61" s="2">
        <f>SUM(AO61:AO63)</f>
      </c>
      <c r="AQ61" s="2">
        <f>(1-((1-G61)*(1-H61)))</f>
      </c>
      <c r="AR61" s="2">
        <f>MIN(1,((F61+AQ61)-((F61*AQ61)/2)))</f>
      </c>
      <c r="AS61" s="2">
        <f>(AS60*(1-AR60))</f>
      </c>
      <c r="AT61" s="2">
        <f>(AS61*I61)</f>
      </c>
      <c r="AU61" s="2">
        <f>SUM(AT61:AT63)</f>
      </c>
      <c r="AV61" s="2">
        <f>AN61</f>
      </c>
      <c r="AW61" s="2">
        <f>(AN61*H61)</f>
      </c>
      <c r="AX61" s="2">
        <f>AO61</f>
      </c>
      <c r="AY61" s="2">
        <f>AT61</f>
      </c>
      <c r="AZ61" s="2">
        <f>AP61</f>
      </c>
      <c r="BA61" s="2">
        <f>AU61</f>
      </c>
      <c r="BB61" s="2">
        <f>(1*IF((D61=0),(1-(3/12)),1))</f>
      </c>
      <c r="BC61" s="2">
        <f>((AN61*H61)*J61)</f>
      </c>
      <c r="BD61" s="2">
        <f>SUMPRODUCT(BB61:BB62,BC61:BC62)</f>
      </c>
      <c r="BE61" s="2">
        <f>IF(AX61=0,0,((BD61+(betaPrime*(AZ61-AZ63)))-(($BQ$18*(BA61-BA23))*(D61&lt;=$BQ$4)))/AX61)</f>
      </c>
      <c r="BF61" s="4">
        <f>ROUND((BE61*100000),0)</f>
      </c>
      <c r="BG61" s="3">
        <v>0.06727130005767833</v>
      </c>
      <c r="BH61" s="2">
        <f>MAX(BE61,BG61)</f>
      </c>
      <c r="BI61" s="2">
        <f>(($BQ$19*MAX((MIN($BQ$4,7)-D61),0))/MIN($BQ$4,7))</f>
      </c>
      <c r="BJ61" s="2">
        <f>MAX((BE61-BI61),0)</f>
      </c>
      <c r="BK61" s="2">
        <f>BJ61</f>
      </c>
      <c r="BL61" s="2">
        <f>((MIN(D61,$BQ$4)*k_freq)*$BQ$14)</f>
      </c>
      <c r="BM61" s="2">
        <f>IF(BL61=0,0,BK61/BL61)</f>
      </c>
    </row>
    <row r="62">
      <c r="D62" s="1">
        <v>59</v>
      </c>
      <c r="E62" s="1">
        <f>x_age+D62</f>
      </c>
      <c r="F62" s="3">
        <v>0.32546</v>
      </c>
      <c r="G62" s="3">
        <v>0.006914</v>
      </c>
      <c r="H62" s="3">
        <v>0.040475</v>
      </c>
      <c r="I62" s="3">
        <f>v_disc^(D62)</f>
      </c>
      <c r="J62" s="3">
        <f>v_disc^(D62+0.5)</f>
      </c>
      <c r="K62" s="2">
        <f>MIN(1,((F62+G62)-((F62*G62)/2)))</f>
      </c>
      <c r="L62" s="2">
        <f>(L61*(1-K61))</f>
      </c>
      <c r="M62" s="2">
        <f>(L62*I62)</f>
      </c>
      <c r="N62" s="2">
        <f>SUM(M62:M74)</f>
      </c>
      <c r="O62" s="2">
        <f>(1-((1-G62)*(1-H62)))</f>
      </c>
      <c r="P62" s="2">
        <f>MIN(1,((F62+O62)-((F62*O62)/2)))</f>
      </c>
      <c r="Q62" s="2">
        <f>(Q61*(1-P61))</f>
      </c>
      <c r="R62" s="2">
        <f>(Q62*I62)</f>
      </c>
      <c r="S62" s="2">
        <f>SUM(R62:R74)</f>
      </c>
      <c r="T62" s="2">
        <f>L62</f>
      </c>
      <c r="U62" s="2">
        <f>(L62*K62)</f>
      </c>
      <c r="V62" s="2">
        <f>M62</f>
      </c>
      <c r="W62" s="2">
        <f>R62</f>
      </c>
      <c r="X62" s="2">
        <f>N62</f>
      </c>
      <c r="Y62" s="2">
        <f>S62</f>
      </c>
      <c r="Z62" s="2">
        <f>1</f>
      </c>
      <c r="AA62" s="2">
        <f>((L62*K62)*J62)</f>
      </c>
      <c r="AB62" s="2">
        <f>SUMPRODUCT(Z62:Z73,AA62:AA73)</f>
      </c>
      <c r="AC62" s="2">
        <f>IF(V62=0,0,((AB62+(betaPrime*(X62-X74)))-(($BP$18*(Y62-Y23))*(D62&lt;=$BP$4)))/V62)</f>
      </c>
      <c r="AD62" s="4">
        <f>ROUND((AC62*100000),0)</f>
      </c>
      <c r="AE62" s="3">
        <v>0.937409941218363</v>
      </c>
      <c r="AF62" s="2">
        <f>MAX(AC62,AE62)</f>
      </c>
      <c r="AG62" s="2">
        <f>(($BP$19*MAX((MIN($BP$4,7)-D62),0))/MIN($BP$4,7))</f>
      </c>
      <c r="AH62" s="2">
        <f>MAX((AC62-AG62),0)</f>
      </c>
      <c r="AI62" s="2">
        <f>AH62</f>
      </c>
      <c r="AJ62" s="2">
        <f>((MIN(D62,$BP$4)*k_freq)*$BP$14)</f>
      </c>
      <c r="AK62" s="2">
        <f>IF(AJ62=0,0,AI62/AJ62)</f>
      </c>
      <c r="AM62" s="2">
        <f>MIN(1,((F62+H62)-((F62*H62)/2)))</f>
      </c>
      <c r="AN62" s="2">
        <f>(AN61*(1-AM61))</f>
      </c>
      <c r="AO62" s="2">
        <f>(AN62*I62)</f>
      </c>
      <c r="AP62" s="2">
        <f>SUM(AO62:AO63)</f>
      </c>
      <c r="AQ62" s="2">
        <f>(1-((1-G62)*(1-H62)))</f>
      </c>
      <c r="AR62" s="2">
        <f>MIN(1,((F62+AQ62)-((F62*AQ62)/2)))</f>
      </c>
      <c r="AS62" s="2">
        <f>(AS61*(1-AR61))</f>
      </c>
      <c r="AT62" s="2">
        <f>(AS62*I62)</f>
      </c>
      <c r="AU62" s="2">
        <f>SUM(AT62:AT63)</f>
      </c>
      <c r="AV62" s="2">
        <f>AN62</f>
      </c>
      <c r="AW62" s="2">
        <f>(AN62*H62)</f>
      </c>
      <c r="AX62" s="2">
        <f>AO62</f>
      </c>
      <c r="AY62" s="2">
        <f>AT62</f>
      </c>
      <c r="AZ62" s="2">
        <f>AP62</f>
      </c>
      <c r="BA62" s="2">
        <f>AU62</f>
      </c>
      <c r="BB62" s="2">
        <f>(1*IF((D62=0),(1-(3/12)),1))</f>
      </c>
      <c r="BC62" s="2">
        <f>((AN62*H62)*J62)</f>
      </c>
      <c r="BD62" s="2">
        <f>SUMPRODUCT(BB62:BB62,BC62:BC62)</f>
      </c>
      <c r="BE62" s="2">
        <f>IF(AX62=0,0,((BD62+(betaPrime*(AZ62-AZ63)))-(($BQ$18*(BA62-BA23))*(D62&lt;=$BQ$4)))/AX62)</f>
      </c>
      <c r="BF62" s="4">
        <f>ROUND((BE62*100000),0)</f>
      </c>
      <c r="BG62" s="3">
        <v>0.0408328909441497</v>
      </c>
      <c r="BH62" s="2">
        <f>MAX(BE62,BG62)</f>
      </c>
      <c r="BI62" s="2">
        <f>(($BQ$19*MAX((MIN($BQ$4,7)-D62),0))/MIN($BQ$4,7))</f>
      </c>
      <c r="BJ62" s="2">
        <f>MAX((BE62-BI62),0)</f>
      </c>
      <c r="BK62" s="2">
        <f>BJ62</f>
      </c>
      <c r="BL62" s="2">
        <f>((MIN(D62,$BQ$4)*k_freq)*$BQ$14)</f>
      </c>
      <c r="BM62" s="2">
        <f>IF(BL62=0,0,BK62/BL62)</f>
      </c>
    </row>
    <row r="63">
      <c r="D63" s="1">
        <v>60</v>
      </c>
      <c r="E63" s="1">
        <f>x_age+D63</f>
      </c>
      <c r="F63" s="3">
        <v>0.35547</v>
      </c>
      <c r="G63" s="3">
        <v>0.007205</v>
      </c>
      <c r="H63" s="3">
        <v>0.040475</v>
      </c>
      <c r="I63" s="3">
        <f>v_disc^(D63)</f>
      </c>
      <c r="J63" s="3">
        <f>v_disc^(D63+0.5)</f>
      </c>
      <c r="K63" s="2">
        <f>MIN(1,((F63+G63)-((F63*G63)/2)))</f>
      </c>
      <c r="L63" s="2">
        <f>(L62*(1-K62))</f>
      </c>
      <c r="M63" s="2">
        <f>(L63*I63)</f>
      </c>
      <c r="N63" s="2">
        <f>SUM(M63:M74)</f>
      </c>
      <c r="O63" s="2">
        <f>(1-((1-G63)*(1-H63)))</f>
      </c>
      <c r="P63" s="2">
        <f>MIN(1,((F63+O63)-((F63*O63)/2)))</f>
      </c>
      <c r="Q63" s="2">
        <f>(Q62*(1-P62))</f>
      </c>
      <c r="R63" s="2">
        <f>(Q63*I63)</f>
      </c>
      <c r="S63" s="2">
        <f>SUM(R63:R74)</f>
      </c>
      <c r="T63" s="2">
        <f>L63</f>
      </c>
      <c r="U63" s="2">
        <f>(L63*K63)</f>
      </c>
      <c r="V63" s="2">
        <f>M63</f>
      </c>
      <c r="W63" s="2">
        <f>R63</f>
      </c>
      <c r="X63" s="2">
        <f>N63</f>
      </c>
      <c r="Y63" s="2">
        <f>S63</f>
      </c>
      <c r="Z63" s="2">
        <f>1</f>
      </c>
      <c r="AA63" s="2">
        <f>((L63*K63)*J63)</f>
      </c>
      <c r="AB63" s="2">
        <f>SUMPRODUCT(Z63:Z73,AA63:AA73)</f>
      </c>
      <c r="AC63" s="2">
        <f>IF(V63=0,0,((AB63+(betaPrime*(X63-X74)))-(($BP$18*(Y63-Y23))*(D63&lt;=$BP$4)))/V63)</f>
      </c>
      <c r="AD63" s="4">
        <f>ROUND((AC63*100000),0)</f>
      </c>
      <c r="AE63" s="3">
        <v>0.9424352489724339</v>
      </c>
      <c r="AF63" s="2">
        <f>MAX(AC63,AE63)</f>
      </c>
      <c r="AG63" s="2">
        <f>(($BP$19*MAX((MIN($BP$4,7)-D63),0))/MIN($BP$4,7))</f>
      </c>
      <c r="AH63" s="2">
        <f>MAX((AC63-AG63),0)</f>
      </c>
      <c r="AI63" s="2">
        <f>AH63</f>
      </c>
      <c r="AJ63" s="2">
        <f>((MIN(D63,$BP$4)*k_freq)*$BP$14)</f>
      </c>
      <c r="AK63" s="2">
        <f>IF(AJ63=0,0,AI63/AJ63)</f>
      </c>
      <c r="AM63" s="2">
        <f>MIN(1,((F63+H63)-((F63*H63)/2)))</f>
      </c>
      <c r="AN63" s="2">
        <f>(AN62*(1-AM62))</f>
      </c>
      <c r="AO63" s="2">
        <f>(AN63*I63)</f>
      </c>
      <c r="AP63" s="2">
        <f>SUM(AO63:AO63)</f>
      </c>
      <c r="AQ63" s="2">
        <f>(1-((1-G63)*(1-H63)))</f>
      </c>
      <c r="AR63" s="2">
        <f>MIN(1,((F63+AQ63)-((F63*AQ63)/2)))</f>
      </c>
      <c r="AS63" s="2">
        <f>(AS62*(1-AR62))</f>
      </c>
      <c r="AT63" s="2">
        <f>(AS63*I63)</f>
      </c>
      <c r="AU63" s="2">
        <f>SUM(AT63:AT63)</f>
      </c>
      <c r="AV63" s="2">
        <f>AN63</f>
      </c>
      <c r="AW63" s="2">
        <f>(AN63*H63)</f>
      </c>
      <c r="AX63" s="2">
        <f>AO63</f>
      </c>
      <c r="AY63" s="2">
        <f>AT63</f>
      </c>
      <c r="AZ63" s="2">
        <f>AP63</f>
      </c>
      <c r="BA63" s="2">
        <f>AU63</f>
      </c>
      <c r="BB63" s="2">
        <f>(1*IF((D63=0),(1-(3/12)),1))</f>
      </c>
      <c r="BC63" s="2">
        <f>((AN63*H63)*J63)</f>
      </c>
      <c r="BD63" s="2">
        <f>0</f>
      </c>
      <c r="BE63" s="2">
        <f>IF(AX63=0,0,((BD63+(betaPrime*(AZ63-AZ63)))-(($BQ$18*(BA63-BA23))*(D63&lt;=$BQ$4)))/AX63)</f>
      </c>
      <c r="BF63" s="4">
        <f>ROUND((BE63*100000),0)</f>
      </c>
      <c r="BG63" s="3">
        <v>0</v>
      </c>
      <c r="BH63" s="2">
        <f>MAX(BE63,BG63)</f>
      </c>
      <c r="BI63" s="2">
        <f>(($BQ$19*MAX((MIN($BQ$4,7)-D63),0))/MIN($BQ$4,7))</f>
      </c>
      <c r="BJ63" s="2">
        <f>MAX((BE63-BI63),0)</f>
      </c>
      <c r="BK63" s="2">
        <f>BJ63</f>
      </c>
      <c r="BL63" s="2">
        <f>((MIN(D63,$BQ$4)*k_freq)*$BQ$14)</f>
      </c>
      <c r="BM63" s="2">
        <f>IF(BL63=0,0,BK63/BL63)</f>
      </c>
    </row>
    <row r="64">
      <c r="D64" s="1">
        <v>61</v>
      </c>
      <c r="E64" s="1">
        <f>x_age+D64</f>
      </c>
      <c r="F64" s="3">
        <v>0.38675</v>
      </c>
      <c r="G64" s="3">
        <v>0.007513</v>
      </c>
      <c r="H64" s="3">
        <v>0.040475</v>
      </c>
      <c r="I64" s="3">
        <f>v_disc^(D64)</f>
      </c>
      <c r="J64" s="3">
        <f>v_disc^(D64+0.5)</f>
      </c>
      <c r="K64" s="2">
        <f>MIN(1,((F64+G64)-((F64*G64)/2)))</f>
      </c>
      <c r="L64" s="2">
        <f>(L63*(1-K63))</f>
      </c>
      <c r="M64" s="2">
        <f>(L64*I64)</f>
      </c>
      <c r="N64" s="2">
        <f>SUM(M64:M74)</f>
      </c>
      <c r="O64" s="2">
        <f>(1-((1-G64)*(1-H64)))</f>
      </c>
      <c r="P64" s="2">
        <f>MIN(1,((F64+O64)-((F64*O64)/2)))</f>
      </c>
      <c r="Q64" s="2">
        <f>(Q63*(1-P63))</f>
      </c>
      <c r="R64" s="2">
        <f>(Q64*I64)</f>
      </c>
      <c r="S64" s="2">
        <f>SUM(R64:R74)</f>
      </c>
      <c r="T64" s="2">
        <f>L64</f>
      </c>
      <c r="U64" s="2">
        <f>(L64*K64)</f>
      </c>
      <c r="V64" s="2">
        <f>M64</f>
      </c>
      <c r="W64" s="2">
        <f>R64</f>
      </c>
      <c r="X64" s="2">
        <f>N64</f>
      </c>
      <c r="Y64" s="2">
        <f>S64</f>
      </c>
      <c r="Z64" s="2">
        <f>1</f>
      </c>
      <c r="AA64" s="2">
        <f>((L64*K64)*J64)</f>
      </c>
      <c r="AB64" s="2">
        <f>SUMPRODUCT(Z64:Z73,AA64:AA73)</f>
      </c>
      <c r="AC64" s="2">
        <f>IF(V64=0,0,((AB64+(betaPrime*(X64-X74)))-(($BP$18*(Y64-Y23))*(D64&lt;=$BP$4)))/V64)</f>
      </c>
      <c r="AD64" s="4">
        <f>ROUND((AC64*100000),0)</f>
      </c>
      <c r="AE64" s="3">
        <v>0.9470818759023485</v>
      </c>
      <c r="AF64" s="2">
        <f>MAX(AC64,AE64)</f>
      </c>
      <c r="AG64" s="2">
        <f>(($BP$19*MAX((MIN($BP$4,7)-D64),0))/MIN($BP$4,7))</f>
      </c>
      <c r="AH64" s="2">
        <f>MAX((AC64-AG64),0)</f>
      </c>
      <c r="AI64" s="2">
        <f>AH64</f>
      </c>
      <c r="AJ64" s="2">
        <f>((MIN(D64,$BP$4)*k_freq)*$BP$14)</f>
      </c>
      <c r="AK64" s="2">
        <f>IF(AJ64=0,0,AI64/AJ64)</f>
      </c>
    </row>
    <row r="65">
      <c r="D65" s="1">
        <v>62</v>
      </c>
      <c r="E65" s="1">
        <f>x_age+D65</f>
      </c>
      <c r="F65" s="3">
        <v>0.41937</v>
      </c>
      <c r="G65" s="3">
        <v>0.007833</v>
      </c>
      <c r="H65" s="3">
        <v>0.040475</v>
      </c>
      <c r="I65" s="3">
        <f>v_disc^(D65)</f>
      </c>
      <c r="J65" s="3">
        <f>v_disc^(D65+0.5)</f>
      </c>
      <c r="K65" s="2">
        <f>MIN(1,((F65+G65)-((F65*G65)/2)))</f>
      </c>
      <c r="L65" s="2">
        <f>(L64*(1-K64))</f>
      </c>
      <c r="M65" s="2">
        <f>(L65*I65)</f>
      </c>
      <c r="N65" s="2">
        <f>SUM(M65:M74)</f>
      </c>
      <c r="O65" s="2">
        <f>(1-((1-G65)*(1-H65)))</f>
      </c>
      <c r="P65" s="2">
        <f>MIN(1,((F65+O65)-((F65*O65)/2)))</f>
      </c>
      <c r="Q65" s="2">
        <f>(Q64*(1-P64))</f>
      </c>
      <c r="R65" s="2">
        <f>(Q65*I65)</f>
      </c>
      <c r="S65" s="2">
        <f>SUM(R65:R74)</f>
      </c>
      <c r="T65" s="2">
        <f>L65</f>
      </c>
      <c r="U65" s="2">
        <f>(L65*K65)</f>
      </c>
      <c r="V65" s="2">
        <f>M65</f>
      </c>
      <c r="W65" s="2">
        <f>R65</f>
      </c>
      <c r="X65" s="2">
        <f>N65</f>
      </c>
      <c r="Y65" s="2">
        <f>S65</f>
      </c>
      <c r="Z65" s="2">
        <f>1</f>
      </c>
      <c r="AA65" s="2">
        <f>((L65*K65)*J65)</f>
      </c>
      <c r="AB65" s="2">
        <f>SUMPRODUCT(Z65:Z73,AA65:AA73)</f>
      </c>
      <c r="AC65" s="2">
        <f>IF(V65=0,0,((AB65+(betaPrime*(X65-X74)))-(($BP$18*(Y65-Y23))*(D65&lt;=$BP$4)))/V65)</f>
      </c>
      <c r="AD65" s="4">
        <f>ROUND((AC65*100000),0)</f>
      </c>
      <c r="AE65" s="3">
        <v>0.9514112556056644</v>
      </c>
      <c r="AF65" s="2">
        <f>MAX(AC65,AE65)</f>
      </c>
      <c r="AG65" s="2">
        <f>(($BP$19*MAX((MIN($BP$4,7)-D65),0))/MIN($BP$4,7))</f>
      </c>
      <c r="AH65" s="2">
        <f>MAX((AC65-AG65),0)</f>
      </c>
      <c r="AI65" s="2">
        <f>AH65</f>
      </c>
      <c r="AJ65" s="2">
        <f>((MIN(D65,$BP$4)*k_freq)*$BP$14)</f>
      </c>
      <c r="AK65" s="2">
        <f>IF(AJ65=0,0,AI65/AJ65)</f>
      </c>
    </row>
    <row r="66">
      <c r="D66" s="1">
        <v>63</v>
      </c>
      <c r="E66" s="1">
        <f>x_age+D66</f>
      </c>
      <c r="F66" s="3">
        <v>0.4509</v>
      </c>
      <c r="G66" s="3">
        <v>0.008159</v>
      </c>
      <c r="H66" s="3">
        <v>0.040475</v>
      </c>
      <c r="I66" s="3">
        <f>v_disc^(D66)</f>
      </c>
      <c r="J66" s="3">
        <f>v_disc^(D66+0.5)</f>
      </c>
      <c r="K66" s="2">
        <f>MIN(1,((F66+G66)-((F66*G66)/2)))</f>
      </c>
      <c r="L66" s="2">
        <f>(L65*(1-K65))</f>
      </c>
      <c r="M66" s="2">
        <f>(L66*I66)</f>
      </c>
      <c r="N66" s="2">
        <f>SUM(M66:M74)</f>
      </c>
      <c r="O66" s="2">
        <f>(1-((1-G66)*(1-H66)))</f>
      </c>
      <c r="P66" s="2">
        <f>MIN(1,((F66+O66)-((F66*O66)/2)))</f>
      </c>
      <c r="Q66" s="2">
        <f>(Q65*(1-P65))</f>
      </c>
      <c r="R66" s="2">
        <f>(Q66*I66)</f>
      </c>
      <c r="S66" s="2">
        <f>SUM(R66:R74)</f>
      </c>
      <c r="T66" s="2">
        <f>L66</f>
      </c>
      <c r="U66" s="2">
        <f>(L66*K66)</f>
      </c>
      <c r="V66" s="2">
        <f>M66</f>
      </c>
      <c r="W66" s="2">
        <f>R66</f>
      </c>
      <c r="X66" s="2">
        <f>N66</f>
      </c>
      <c r="Y66" s="2">
        <f>S66</f>
      </c>
      <c r="Z66" s="2">
        <f>1</f>
      </c>
      <c r="AA66" s="2">
        <f>((L66*K66)*J66)</f>
      </c>
      <c r="AB66" s="2">
        <f>SUMPRODUCT(Z66:Z73,AA66:AA73)</f>
      </c>
      <c r="AC66" s="2">
        <f>IF(V66=0,0,((AB66+(betaPrime*(X66-X74)))-(($BP$18*(Y66-Y23))*(D66&lt;=$BP$4)))/V66)</f>
      </c>
      <c r="AD66" s="4">
        <f>ROUND((AC66*100000),0)</f>
      </c>
      <c r="AE66" s="3">
        <v>0.9555036751420869</v>
      </c>
      <c r="AF66" s="2">
        <f>MAX(AC66,AE66)</f>
      </c>
      <c r="AG66" s="2">
        <f>(($BP$19*MAX((MIN($BP$4,7)-D66),0))/MIN($BP$4,7))</f>
      </c>
      <c r="AH66" s="2">
        <f>MAX((AC66-AG66),0)</f>
      </c>
      <c r="AI66" s="2">
        <f>AH66</f>
      </c>
      <c r="AJ66" s="2">
        <f>((MIN(D66,$BP$4)*k_freq)*$BP$14)</f>
      </c>
      <c r="AK66" s="2">
        <f>IF(AJ66=0,0,AI66/AJ66)</f>
      </c>
    </row>
    <row r="67">
      <c r="D67" s="1">
        <v>64</v>
      </c>
      <c r="E67" s="1">
        <f>x_age+D67</f>
      </c>
      <c r="F67" s="3">
        <v>0.48142</v>
      </c>
      <c r="G67" s="3">
        <v>0.008641</v>
      </c>
      <c r="H67" s="3">
        <v>0.040476</v>
      </c>
      <c r="I67" s="3">
        <f>v_disc^(D67)</f>
      </c>
      <c r="J67" s="3">
        <f>v_disc^(D67+0.5)</f>
      </c>
      <c r="K67" s="2">
        <f>MIN(1,((F67+G67)-((F67*G67)/2)))</f>
      </c>
      <c r="L67" s="2">
        <f>(L66*(1-K66))</f>
      </c>
      <c r="M67" s="2">
        <f>(L67*I67)</f>
      </c>
      <c r="N67" s="2">
        <f>SUM(M67:M74)</f>
      </c>
      <c r="O67" s="2">
        <f>(1-((1-G67)*(1-H67)))</f>
      </c>
      <c r="P67" s="2">
        <f>MIN(1,((F67+O67)-((F67*O67)/2)))</f>
      </c>
      <c r="Q67" s="2">
        <f>(Q66*(1-P66))</f>
      </c>
      <c r="R67" s="2">
        <f>(Q67*I67)</f>
      </c>
      <c r="S67" s="2">
        <f>SUM(R67:R74)</f>
      </c>
      <c r="T67" s="2">
        <f>L67</f>
      </c>
      <c r="U67" s="2">
        <f>(L67*K67)</f>
      </c>
      <c r="V67" s="2">
        <f>M67</f>
      </c>
      <c r="W67" s="2">
        <f>R67</f>
      </c>
      <c r="X67" s="2">
        <f>N67</f>
      </c>
      <c r="Y67" s="2">
        <f>S67</f>
      </c>
      <c r="Z67" s="2">
        <f>1</f>
      </c>
      <c r="AA67" s="2">
        <f>((L67*K67)*J67)</f>
      </c>
      <c r="AB67" s="2">
        <f>SUMPRODUCT(Z67:Z73,AA67:AA73)</f>
      </c>
      <c r="AC67" s="2">
        <f>IF(V67=0,0,((AB67+(betaPrime*(X67-X74)))-(($BP$18*(Y67-Y23))*(D67&lt;=$BP$4)))/V67)</f>
      </c>
      <c r="AD67" s="4">
        <f>ROUND((AC67*100000),0)</f>
      </c>
      <c r="AE67" s="3">
        <v>0.9597528475578054</v>
      </c>
      <c r="AF67" s="2">
        <f>MAX(AC67,AE67)</f>
      </c>
      <c r="AG67" s="2">
        <f>(($BP$19*MAX((MIN($BP$4,7)-D67),0))/MIN($BP$4,7))</f>
      </c>
      <c r="AH67" s="2">
        <f>MAX((AC67-AG67),0)</f>
      </c>
      <c r="AI67" s="2">
        <f>AH67</f>
      </c>
      <c r="AJ67" s="2">
        <f>((MIN(D67,$BP$4)*k_freq)*$BP$14)</f>
      </c>
      <c r="AK67" s="2">
        <f>IF(AJ67=0,0,AI67/AJ67)</f>
      </c>
    </row>
    <row r="68">
      <c r="D68" s="1">
        <v>65</v>
      </c>
      <c r="E68" s="1">
        <f>x_age+D68</f>
      </c>
      <c r="F68" s="3">
        <v>0.5438</v>
      </c>
      <c r="G68" s="3">
        <v>0.009152</v>
      </c>
      <c r="H68" s="3">
        <v>0.040475</v>
      </c>
      <c r="I68" s="3">
        <f>v_disc^(D68)</f>
      </c>
      <c r="J68" s="3">
        <f>v_disc^(D68+0.5)</f>
      </c>
      <c r="K68" s="2">
        <f>MIN(1,((F68+G68)-((F68*G68)/2)))</f>
      </c>
      <c r="L68" s="2">
        <f>(L67*(1-K67))</f>
      </c>
      <c r="M68" s="2">
        <f>(L68*I68)</f>
      </c>
      <c r="N68" s="2">
        <f>SUM(M68:M74)</f>
      </c>
      <c r="O68" s="2">
        <f>(1-((1-G68)*(1-H68)))</f>
      </c>
      <c r="P68" s="2">
        <f>MIN(1,((F68+O68)-((F68*O68)/2)))</f>
      </c>
      <c r="Q68" s="2">
        <f>(Q67*(1-P67))</f>
      </c>
      <c r="R68" s="2">
        <f>(Q68*I68)</f>
      </c>
      <c r="S68" s="2">
        <f>SUM(R68:R74)</f>
      </c>
      <c r="T68" s="2">
        <f>L68</f>
      </c>
      <c r="U68" s="2">
        <f>(L68*K68)</f>
      </c>
      <c r="V68" s="2">
        <f>M68</f>
      </c>
      <c r="W68" s="2">
        <f>R68</f>
      </c>
      <c r="X68" s="2">
        <f>N68</f>
      </c>
      <c r="Y68" s="2">
        <f>S68</f>
      </c>
      <c r="Z68" s="2">
        <f>1</f>
      </c>
      <c r="AA68" s="2">
        <f>((L68*K68)*J68)</f>
      </c>
      <c r="AB68" s="2">
        <f>SUMPRODUCT(Z68:Z73,AA68:AA73)</f>
      </c>
      <c r="AC68" s="2">
        <f>IF(V68=0,0,((AB68+(betaPrime*(X68-X74)))-(($BP$18*(Y68-Y23))*(D68&lt;=$BP$4)))/V68)</f>
      </c>
      <c r="AD68" s="4">
        <f>ROUND((AC68*100000),0)</f>
      </c>
      <c r="AE68" s="3">
        <v>0.9649349441094945</v>
      </c>
      <c r="AF68" s="2">
        <f>MAX(AC68,AE68)</f>
      </c>
      <c r="AG68" s="2">
        <f>(($BP$19*MAX((MIN($BP$4,7)-D68),0))/MIN($BP$4,7))</f>
      </c>
      <c r="AH68" s="2">
        <f>MAX((AC68-AG68),0)</f>
      </c>
      <c r="AI68" s="2">
        <f>AH68</f>
      </c>
      <c r="AJ68" s="2">
        <f>((MIN(D68,$BP$4)*k_freq)*$BP$14)</f>
      </c>
      <c r="AK68" s="2">
        <f>IF(AJ68=0,0,AI68/AJ68)</f>
      </c>
    </row>
    <row r="69">
      <c r="D69" s="1">
        <v>66</v>
      </c>
      <c r="E69" s="1">
        <f>x_age+D69</f>
      </c>
      <c r="F69" s="3">
        <v>0.61426</v>
      </c>
      <c r="G69" s="3">
        <v>0.009695</v>
      </c>
      <c r="H69" s="3">
        <v>0.040475</v>
      </c>
      <c r="I69" s="3">
        <f>v_disc^(D69)</f>
      </c>
      <c r="J69" s="3">
        <f>v_disc^(D69+0.5)</f>
      </c>
      <c r="K69" s="2">
        <f>MIN(1,((F69+G69)-((F69*G69)/2)))</f>
      </c>
      <c r="L69" s="2">
        <f>(L68*(1-K68))</f>
      </c>
      <c r="M69" s="2">
        <f>(L69*I69)</f>
      </c>
      <c r="N69" s="2">
        <f>SUM(M69:M74)</f>
      </c>
      <c r="O69" s="2">
        <f>(1-((1-G69)*(1-H69)))</f>
      </c>
      <c r="P69" s="2">
        <f>MIN(1,((F69+O69)-((F69*O69)/2)))</f>
      </c>
      <c r="Q69" s="2">
        <f>(Q68*(1-P68))</f>
      </c>
      <c r="R69" s="2">
        <f>(Q69*I69)</f>
      </c>
      <c r="S69" s="2">
        <f>SUM(R69:R74)</f>
      </c>
      <c r="T69" s="2">
        <f>L69</f>
      </c>
      <c r="U69" s="2">
        <f>(L69*K69)</f>
      </c>
      <c r="V69" s="2">
        <f>M69</f>
      </c>
      <c r="W69" s="2">
        <f>R69</f>
      </c>
      <c r="X69" s="2">
        <f>N69</f>
      </c>
      <c r="Y69" s="2">
        <f>S69</f>
      </c>
      <c r="Z69" s="2">
        <f>1</f>
      </c>
      <c r="AA69" s="2">
        <f>((L69*K69)*J69)</f>
      </c>
      <c r="AB69" s="2">
        <f>SUMPRODUCT(Z69:Z73,AA69:AA73)</f>
      </c>
      <c r="AC69" s="2">
        <f>IF(V69=0,0,((AB69+(betaPrime*(X69-X74)))-(($BP$18*(Y69-Y23))*(D69&lt;=$BP$4)))/V69)</f>
      </c>
      <c r="AD69" s="4">
        <f>ROUND((AC69*100000),0)</f>
      </c>
      <c r="AE69" s="3">
        <v>0.969722848826669</v>
      </c>
      <c r="AF69" s="2">
        <f>MAX(AC69,AE69)</f>
      </c>
      <c r="AG69" s="2">
        <f>(($BP$19*MAX((MIN($BP$4,7)-D69),0))/MIN($BP$4,7))</f>
      </c>
      <c r="AH69" s="2">
        <f>MAX((AC69-AG69),0)</f>
      </c>
      <c r="AI69" s="2">
        <f>AH69</f>
      </c>
      <c r="AJ69" s="2">
        <f>((MIN(D69,$BP$4)*k_freq)*$BP$14)</f>
      </c>
      <c r="AK69" s="2">
        <f>IF(AJ69=0,0,AI69/AJ69)</f>
      </c>
    </row>
    <row r="70">
      <c r="D70" s="1">
        <v>67</v>
      </c>
      <c r="E70" s="1">
        <f>x_age+D70</f>
      </c>
      <c r="F70" s="3">
        <v>0.69385</v>
      </c>
      <c r="G70" s="3">
        <v>0.01027</v>
      </c>
      <c r="H70" s="3">
        <v>0.040475</v>
      </c>
      <c r="I70" s="3">
        <f>v_disc^(D70)</f>
      </c>
      <c r="J70" s="3">
        <f>v_disc^(D70+0.5)</f>
      </c>
      <c r="K70" s="2">
        <f>MIN(1,((F70+G70)-((F70*G70)/2)))</f>
      </c>
      <c r="L70" s="2">
        <f>(L69*(1-K69))</f>
      </c>
      <c r="M70" s="2">
        <f>(L70*I70)</f>
      </c>
      <c r="N70" s="2">
        <f>SUM(M70:M74)</f>
      </c>
      <c r="O70" s="2">
        <f>(1-((1-G70)*(1-H70)))</f>
      </c>
      <c r="P70" s="2">
        <f>MIN(1,((F70+O70)-((F70*O70)/2)))</f>
      </c>
      <c r="Q70" s="2">
        <f>(Q69*(1-P69))</f>
      </c>
      <c r="R70" s="2">
        <f>(Q70*I70)</f>
      </c>
      <c r="S70" s="2">
        <f>SUM(R70:R74)</f>
      </c>
      <c r="T70" s="2">
        <f>L70</f>
      </c>
      <c r="U70" s="2">
        <f>(L70*K70)</f>
      </c>
      <c r="V70" s="2">
        <f>M70</f>
      </c>
      <c r="W70" s="2">
        <f>R70</f>
      </c>
      <c r="X70" s="2">
        <f>N70</f>
      </c>
      <c r="Y70" s="2">
        <f>S70</f>
      </c>
      <c r="Z70" s="2">
        <f>1</f>
      </c>
      <c r="AA70" s="2">
        <f>((L70*K70)*J70)</f>
      </c>
      <c r="AB70" s="2">
        <f>SUMPRODUCT(Z70:Z73,AA70:AA73)</f>
      </c>
      <c r="AC70" s="2">
        <f>IF(V70=0,0,((AB70+(betaPrime*(X70-X74)))-(($BP$18*(Y70-Y23))*(D70&lt;=$BP$4)))/V70)</f>
      </c>
      <c r="AD70" s="4">
        <f>ROUND((AC70*100000),0)</f>
      </c>
      <c r="AE70" s="3">
        <v>0.9741338439974606</v>
      </c>
      <c r="AF70" s="2">
        <f>MAX(AC70,AE70)</f>
      </c>
      <c r="AG70" s="2">
        <f>(($BP$19*MAX((MIN($BP$4,7)-D70),0))/MIN($BP$4,7))</f>
      </c>
      <c r="AH70" s="2">
        <f>MAX((AC70-AG70),0)</f>
      </c>
      <c r="AI70" s="2">
        <f>AH70</f>
      </c>
      <c r="AJ70" s="2">
        <f>((MIN(D70,$BP$4)*k_freq)*$BP$14)</f>
      </c>
      <c r="AK70" s="2">
        <f>IF(AJ70=0,0,AI70/AJ70)</f>
      </c>
    </row>
    <row r="71">
      <c r="D71" s="1">
        <v>68</v>
      </c>
      <c r="E71" s="1">
        <f>x_age+D71</f>
      </c>
      <c r="F71" s="3">
        <v>0.78375</v>
      </c>
      <c r="G71" s="3">
        <v>0.01088</v>
      </c>
      <c r="H71" s="3">
        <v>0.040475</v>
      </c>
      <c r="I71" s="3">
        <f>v_disc^(D71)</f>
      </c>
      <c r="J71" s="3">
        <f>v_disc^(D71+0.5)</f>
      </c>
      <c r="K71" s="2">
        <f>MIN(1,((F71+G71)-((F71*G71)/2)))</f>
      </c>
      <c r="L71" s="2">
        <f>(L70*(1-K70))</f>
      </c>
      <c r="M71" s="2">
        <f>(L71*I71)</f>
      </c>
      <c r="N71" s="2">
        <f>SUM(M71:M74)</f>
      </c>
      <c r="O71" s="2">
        <f>(1-((1-G71)*(1-H71)))</f>
      </c>
      <c r="P71" s="2">
        <f>MIN(1,((F71+O71)-((F71*O71)/2)))</f>
      </c>
      <c r="Q71" s="2">
        <f>(Q70*(1-P70))</f>
      </c>
      <c r="R71" s="2">
        <f>(Q71*I71)</f>
      </c>
      <c r="S71" s="2">
        <f>SUM(R71:R74)</f>
      </c>
      <c r="T71" s="2">
        <f>L71</f>
      </c>
      <c r="U71" s="2">
        <f>(L71*K71)</f>
      </c>
      <c r="V71" s="2">
        <f>M71</f>
      </c>
      <c r="W71" s="2">
        <f>R71</f>
      </c>
      <c r="X71" s="2">
        <f>N71</f>
      </c>
      <c r="Y71" s="2">
        <f>S71</f>
      </c>
      <c r="Z71" s="2">
        <f>1</f>
      </c>
      <c r="AA71" s="2">
        <f>((L71*K71)*J71)</f>
      </c>
      <c r="AB71" s="2">
        <f>SUMPRODUCT(Z71:Z73,AA71:AA73)</f>
      </c>
      <c r="AC71" s="2">
        <f>IF(V71=0,0,((AB71+(betaPrime*(X71-X74)))-(($BP$18*(Y71-Y23))*(D71&lt;=$BP$4)))/V71)</f>
      </c>
      <c r="AD71" s="4">
        <f>ROUND((AC71*100000),0)</f>
      </c>
      <c r="AE71" s="3">
        <v>0.9781850363896634</v>
      </c>
      <c r="AF71" s="2">
        <f>MAX(AC71,AE71)</f>
      </c>
      <c r="AG71" s="2">
        <f>(($BP$19*MAX((MIN($BP$4,7)-D71),0))/MIN($BP$4,7))</f>
      </c>
      <c r="AH71" s="2">
        <f>MAX((AC71-AG71),0)</f>
      </c>
      <c r="AI71" s="2">
        <f>AH71</f>
      </c>
      <c r="AJ71" s="2">
        <f>((MIN(D71,$BP$4)*k_freq)*$BP$14)</f>
      </c>
      <c r="AK71" s="2">
        <f>IF(AJ71=0,0,AI71/AJ71)</f>
      </c>
    </row>
    <row r="72">
      <c r="D72" s="1">
        <v>69</v>
      </c>
      <c r="E72" s="1">
        <f>x_age+D72</f>
      </c>
      <c r="F72" s="3">
        <v>0.8853</v>
      </c>
      <c r="G72" s="3">
        <v>0.011528</v>
      </c>
      <c r="H72" s="3">
        <v>0.040475</v>
      </c>
      <c r="I72" s="3">
        <f>v_disc^(D72)</f>
      </c>
      <c r="J72" s="3">
        <f>v_disc^(D72+0.5)</f>
      </c>
      <c r="K72" s="2">
        <f>MIN(1,((F72+G72)-((F72*G72)/2)))</f>
      </c>
      <c r="L72" s="2">
        <f>(L71*(1-K71))</f>
      </c>
      <c r="M72" s="2">
        <f>(L72*I72)</f>
      </c>
      <c r="N72" s="2">
        <f>SUM(M72:M74)</f>
      </c>
      <c r="O72" s="2">
        <f>(1-((1-G72)*(1-H72)))</f>
      </c>
      <c r="P72" s="2">
        <f>MIN(1,((F72+O72)-((F72*O72)/2)))</f>
      </c>
      <c r="Q72" s="2">
        <f>(Q71*(1-P71))</f>
      </c>
      <c r="R72" s="2">
        <f>(Q72*I72)</f>
      </c>
      <c r="S72" s="2">
        <f>SUM(R72:R74)</f>
      </c>
      <c r="T72" s="2">
        <f>L72</f>
      </c>
      <c r="U72" s="2">
        <f>(L72*K72)</f>
      </c>
      <c r="V72" s="2">
        <f>M72</f>
      </c>
      <c r="W72" s="2">
        <f>R72</f>
      </c>
      <c r="X72" s="2">
        <f>N72</f>
      </c>
      <c r="Y72" s="2">
        <f>S72</f>
      </c>
      <c r="Z72" s="2">
        <f>1</f>
      </c>
      <c r="AA72" s="2">
        <f>((L72*K72)*J72)</f>
      </c>
      <c r="AB72" s="2">
        <f>SUMPRODUCT(Z72:Z73,AA72:AA73)</f>
      </c>
      <c r="AC72" s="2">
        <f>IF(V72=0,0,((AB72+(betaPrime*(X72-X74)))-(($BP$18*(Y72-Y23))*(D72&lt;=$BP$4)))/V72)</f>
      </c>
      <c r="AD72" s="4">
        <f>ROUND((AC72*100000),0)</f>
      </c>
      <c r="AE72" s="3">
        <v>0.9818864298397995</v>
      </c>
      <c r="AF72" s="2">
        <f>MAX(AC72,AE72)</f>
      </c>
      <c r="AG72" s="2">
        <f>(($BP$19*MAX((MIN($BP$4,7)-D72),0))/MIN($BP$4,7))</f>
      </c>
      <c r="AH72" s="2">
        <f>MAX((AC72-AG72),0)</f>
      </c>
      <c r="AI72" s="2">
        <f>AH72</f>
      </c>
      <c r="AJ72" s="2">
        <f>((MIN(D72,$BP$4)*k_freq)*$BP$14)</f>
      </c>
      <c r="AK72" s="2">
        <f>IF(AJ72=0,0,AI72/AJ72)</f>
      </c>
    </row>
    <row r="73">
      <c r="D73" s="1">
        <v>70</v>
      </c>
      <c r="E73" s="1">
        <f>x_age+D73</f>
      </c>
      <c r="F73" s="3">
        <v>1</v>
      </c>
      <c r="G73" s="3">
        <v>0.011528</v>
      </c>
      <c r="H73" s="3">
        <v>0.040475</v>
      </c>
      <c r="I73" s="3">
        <f>v_disc^(D73)</f>
      </c>
      <c r="J73" s="3">
        <f>v_disc^(D73+0.5)</f>
      </c>
      <c r="K73" s="2">
        <f>MIN(1,((F73+G73)-((F73*G73)/2)))</f>
      </c>
      <c r="L73" s="2">
        <f>(L72*(1-K72))</f>
      </c>
      <c r="M73" s="2">
        <f>(L73*I73)</f>
      </c>
      <c r="N73" s="2">
        <f>SUM(M73:M74)</f>
      </c>
      <c r="O73" s="2">
        <f>(1-((1-G73)*(1-H73)))</f>
      </c>
      <c r="P73" s="2">
        <f>MIN(1,((F73+O73)-((F73*O73)/2)))</f>
      </c>
      <c r="Q73" s="2">
        <f>(Q72*(1-P72))</f>
      </c>
      <c r="R73" s="2">
        <f>(Q73*I73)</f>
      </c>
      <c r="S73" s="2">
        <f>SUM(R73:R74)</f>
      </c>
      <c r="T73" s="2">
        <f>L73</f>
      </c>
      <c r="U73" s="2">
        <f>(L73*K73)</f>
      </c>
      <c r="V73" s="2">
        <f>M73</f>
      </c>
      <c r="W73" s="2">
        <f>R73</f>
      </c>
      <c r="X73" s="2">
        <f>N73</f>
      </c>
      <c r="Y73" s="2">
        <f>S73</f>
      </c>
      <c r="Z73" s="2">
        <f>1</f>
      </c>
      <c r="AA73" s="2">
        <f>((L73*K73)*J73)</f>
      </c>
      <c r="AB73" s="2">
        <f>SUMPRODUCT(Z73:Z73,AA73:AA73)</f>
      </c>
      <c r="AC73" s="2">
        <f>IF(V73=0,0,((AB73+(betaPrime*(X73-X74)))-(($BP$18*(Y73-Y23))*(D73&lt;=$BP$4)))/V73)</f>
      </c>
      <c r="AD73" s="4">
        <f>ROUND((AC73*100000),0)</f>
      </c>
      <c r="AE73" s="3">
        <v>0.9851356626102459</v>
      </c>
      <c r="AF73" s="2">
        <f>MAX(AC73,AE73)</f>
      </c>
      <c r="AG73" s="2">
        <f>(($BP$19*MAX((MIN($BP$4,7)-D73),0))/MIN($BP$4,7))</f>
      </c>
      <c r="AH73" s="2">
        <f>MAX((AC73-AG73),0)</f>
      </c>
      <c r="AI73" s="2">
        <f>AH73</f>
      </c>
      <c r="AJ73" s="2">
        <f>((MIN(D73,$BP$4)*k_freq)*$BP$14)</f>
      </c>
      <c r="AK73" s="2">
        <f>IF(AJ73=0,0,AI73/AJ73)</f>
      </c>
    </row>
    <row r="74">
      <c r="D74" s="1">
        <v>71</v>
      </c>
      <c r="E74" s="1">
        <f>x_age+D74</f>
      </c>
      <c r="F74" s="3">
        <v>0</v>
      </c>
      <c r="G74" s="3">
        <v>0</v>
      </c>
      <c r="H74" s="3">
        <v>0</v>
      </c>
      <c r="I74" s="3">
        <f>v_disc^(D74)</f>
      </c>
      <c r="J74" s="3">
        <f>v_disc^(D74+0.5)</f>
      </c>
      <c r="K74" s="2">
        <f>MIN(1,((F74+G74)-((F74*G74)/2)))</f>
      </c>
      <c r="L74" s="2">
        <f>(L73*(1-K73))</f>
      </c>
      <c r="M74" s="2">
        <f>(L74*I74)</f>
      </c>
      <c r="N74" s="2">
        <f>SUM(M74:M74)</f>
      </c>
      <c r="O74" s="2">
        <f>(1-((1-G74)*(1-H74)))</f>
      </c>
      <c r="P74" s="2">
        <f>MIN(1,((F74+O74)-((F74*O74)/2)))</f>
      </c>
      <c r="Q74" s="2">
        <f>(Q73*(1-P73))</f>
      </c>
      <c r="R74" s="2">
        <f>(Q74*I74)</f>
      </c>
      <c r="S74" s="2">
        <f>SUM(R74:R74)</f>
      </c>
      <c r="T74" s="2">
        <f>L74</f>
      </c>
      <c r="U74" s="2">
        <f>(L74*K74)</f>
      </c>
      <c r="V74" s="2">
        <f>M74</f>
      </c>
      <c r="W74" s="2">
        <f>R74</f>
      </c>
      <c r="X74" s="2">
        <f>N74</f>
      </c>
      <c r="Y74" s="2">
        <f>S74</f>
      </c>
      <c r="Z74" s="2">
        <f>1</f>
      </c>
      <c r="AA74" s="2">
        <f>((L74*K74)*J74)</f>
      </c>
      <c r="AB74" s="2">
        <f>0</f>
      </c>
      <c r="AC74" s="2">
        <f>IF(V74=0,0,((AB74+(betaPrime*(X74-X74)))-(($BP$18*(Y74-Y23))*(D74&lt;=$BP$4)))/V74)</f>
      </c>
      <c r="AD74" s="4">
        <f>ROUND((AC74*100000),0)</f>
      </c>
      <c r="AE74" s="3">
        <v>0</v>
      </c>
      <c r="AF74" s="2">
        <f>MAX(AC74,AE74)</f>
      </c>
      <c r="AG74" s="2">
        <f>(($BP$19*MAX((MIN($BP$4,7)-D74),0))/MIN($BP$4,7))</f>
      </c>
      <c r="AH74" s="2">
        <f>MAX((AC74-AG74),0)</f>
      </c>
      <c r="AI74" s="2">
        <f>AH74</f>
      </c>
      <c r="AJ74" s="2">
        <f>((MIN(D74,$BP$4)*k_freq)*$BP$14)</f>
      </c>
      <c r="AK74" s="2">
        <f>IF(AJ74=0,0,AI74/AJ74)</f>
      </c>
    </row>
  </sheetData>
</worksheet>
</file>