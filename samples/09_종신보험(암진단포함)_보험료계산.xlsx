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주계약" sheetId="1" r:id="rId1"/>
  </sheets>
  <definedNames>
    <definedName name="x_age" localSheetId="0">'주계약'!$B$2</definedName>
    <definedName name="sum_assured" localSheetId="0">'주계약'!$B$4</definedName>
    <definedName name="k_freq" localSheetId="0">'주계약'!$B$5</definedName>
    <definedName name="i_rate" localSheetId="0">'주계약'!$B$6</definedName>
    <definedName name="v_disc" localSheetId="0">'주계약'!$B$7</definedName>
    <definedName name="i_std" localSheetId="0">'주계약'!$B$8</definedName>
    <definedName name="alphaS" localSheetId="0">'주계약'!$B$9</definedName>
    <definedName name="betaS" localSheetId="0">'주계약'!$B$10</definedName>
    <definedName name="betaG" localSheetId="0">'주계약'!$B$11</definedName>
    <definedName name="betaPrime" localSheetId="0">'주계약'!$B$12</definedName>
    <definedName name="gamma" localSheetId="0">'주계약'!$B$13</definedName>
    <definedName name="rho" localSheetId="0">'주계약'!$B$14</definedName>
    <definedName name="per100k_0">'주계약'!$BD$16</definedName>
    <definedName name="prem_0">'주계약'!$BD$17</definedName>
  </definedNames>
  <calcPr fullCalcOnLoad="1"/>
</workbook>
</file>

<file path=xl/styles.xml><?xml version="1.0" encoding="utf-8"?>
<styleSheet xmlns="http://schemas.openxmlformats.org/spreadsheetml/2006/main">
  <numFmts count="5">
    <numFmt numFmtId="164" formatCode="0"/>
    <numFmt numFmtId="165" formatCode="#,##0.00"/>
    <numFmt numFmtId="166" formatCode="0.00000000"/>
    <numFmt numFmtId="167" formatCode="#,##0"/>
    <numFmt numFmtId="168" formatCode="0.000%"/>
  </numFmts>
  <fonts count="1">
    <font>
      <sz val="11"/>
      <name val="맑은 고딕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applyNumberFormat="1"/>
    <xf numFmtId="164" fontId="0" fillId="0" borderId="0" applyNumberFormat="1"/>
    <xf numFmtId="165" fontId="0" fillId="0" borderId="0" applyNumberFormat="1"/>
    <xf numFmtId="166" fontId="0" fillId="0" borderId="0" applyNumberFormat="1"/>
    <xf numFmtId="167" fontId="0" fillId="0" borderId="0" applyNumberFormat="1"/>
    <xf numFmtId="168" fontId="0" fillId="0" border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5" ySplit="2" topLeftCell="F3" activePane="bottomRight" state="frozen"/>
    </sheetView>
  </sheetViews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  <col min="19" max="19" width="13" customWidth="1"/>
    <col min="20" max="20" width="13" customWidth="1"/>
    <col min="21" max="21" width="13" customWidth="1"/>
    <col min="22" max="22" width="13" customWidth="1"/>
    <col min="23" max="23" width="13" customWidth="1"/>
    <col min="24" max="24" width="13" customWidth="1"/>
    <col min="25" max="25" width="13" customWidth="1"/>
    <col min="26" max="26" width="13" customWidth="1"/>
    <col min="27" max="27" width="13" customWidth="1"/>
    <col min="28" max="28" width="13" customWidth="1"/>
    <col min="29" max="29" width="13" customWidth="1"/>
    <col min="30" max="30" width="13" customWidth="1"/>
    <col min="31" max="31" width="13" customWidth="1"/>
    <col min="32" max="32" width="13" customWidth="1"/>
    <col min="33" max="33" width="13" customWidth="1"/>
    <col min="34" max="34" width="13" customWidth="1"/>
    <col min="35" max="35" width="13" customWidth="1"/>
    <col min="36" max="36" width="13" customWidth="1"/>
    <col min="37" max="37" width="13" customWidth="1"/>
    <col min="38" max="38" width="13" customWidth="1"/>
    <col min="39" max="39" width="13" customWidth="1"/>
    <col min="40" max="40" width="13" customWidth="1"/>
    <col min="41" max="41" width="13" customWidth="1"/>
    <col min="42" max="42" width="13" customWidth="1"/>
    <col min="43" max="43" width="13" customWidth="1"/>
    <col min="44" max="44" width="13" customWidth="1"/>
    <col min="45" max="45" width="13" customWidth="1"/>
    <col min="46" max="46" width="13" customWidth="1"/>
    <col min="47" max="47" width="13" customWidth="1"/>
    <col min="48" max="48" width="13" customWidth="1"/>
    <col min="49" max="49" width="13" customWidth="1"/>
    <col min="50" max="50" width="13" customWidth="1"/>
    <col min="51" max="51" width="13" customWidth="1"/>
    <col min="52" max="52" width="13" customWidth="1"/>
    <col min="53" max="53" width="44" customWidth="1"/>
    <col min="54" max="54" width="16" customWidth="1"/>
    <col min="55" max="55" width="16" customWidth="1"/>
    <col min="56" max="56" width="14" customWidth="1"/>
  </cols>
  <sheetData>
    <row r="1">
      <c r="A1" t="inlineStr">
        <is>
          <t xml:space="preserve">계약 · 기초율 — 주계약</t>
        </is>
      </c>
      <c r="F1" t="inlineStr">
        <is>
          <t xml:space="preserve">위험률 (표에서 온 값)</t>
        </is>
      </c>
      <c r="I1" t="inlineStr">
        <is>
          <t xml:space="preserve">현가율 (이율에서)</t>
        </is>
      </c>
      <c r="K1" t="inlineStr">
        <is>
          <t xml:space="preserve">담보 1: 사망·80% 이상 장해 (집단 사망 · 80% 이상 장해)</t>
        </is>
      </c>
      <c r="AF1" t="inlineStr">
        <is>
          <t xml:space="preserve">담보 2: 암 진단 (집단 사망 · 암)</t>
        </is>
      </c>
      <c r="BA1" t="inlineStr">
        <is>
          <t xml:space="preserve">보험료 계산 · 결과 (담보마다)</t>
        </is>
      </c>
    </row>
    <row r="2">
      <c r="A2" t="inlineStr">
        <is>
          <t xml:space="preserve">가입나이 x (세)</t>
        </is>
      </c>
      <c r="B2" s="4">
        <v>40</v>
      </c>
      <c r="D2" t="inlineStr">
        <is>
          <t xml:space="preserve">t (경과)</t>
        </is>
      </c>
      <c r="E2" t="inlineStr">
        <is>
          <t xml:space="preserve">연령 x+t</t>
        </is>
      </c>
      <c r="F2" t="inlineStr">
        <is>
          <t xml:space="preserve">사망률</t>
        </is>
      </c>
      <c r="G2" t="inlineStr">
        <is>
          <t xml:space="preserve">80% 이상 장해율</t>
        </is>
      </c>
      <c r="H2" t="inlineStr">
        <is>
          <t xml:space="preserve">암발생률</t>
        </is>
      </c>
      <c r="I2" t="inlineStr">
        <is>
          <t xml:space="preserve">v^t 현가율</t>
        </is>
      </c>
      <c r="J2" t="inlineStr">
        <is>
          <t xml:space="preserve">v^{t+½} 현가율</t>
        </is>
      </c>
      <c r="K2" t="inlineStr">
        <is>
          <t xml:space="preserve">Q 탈퇴율</t>
        </is>
      </c>
      <c r="L2" t="inlineStr">
        <is>
          <t xml:space="preserve">l 유지자수</t>
        </is>
      </c>
      <c r="M2" t="inlineStr">
        <is>
          <t xml:space="preserve">F 납입면제까지 묶은 질병 발생률 (곱 결합)</t>
        </is>
      </c>
      <c r="N2" t="inlineStr">
        <is>
          <t xml:space="preserve">Q′ 납입 탈퇴율</t>
        </is>
      </c>
      <c r="O2" t="inlineStr">
        <is>
          <t xml:space="preserve">l′ 납입자수</t>
        </is>
      </c>
      <c r="P2" t="inlineStr">
        <is>
          <t xml:space="preserve">d 지급자수 (급부 발생자)</t>
        </is>
      </c>
      <c r="Q2" t="inlineStr">
        <is>
          <t xml:space="preserve">D 유지자수의 현가</t>
        </is>
      </c>
      <c r="R2" t="inlineStr">
        <is>
          <t xml:space="preserve">D′ 납입자수의 현가</t>
        </is>
      </c>
      <c r="S2" t="inlineStr">
        <is>
          <t xml:space="preserve">N 유지자수 현가의 누계</t>
        </is>
      </c>
      <c r="T2" t="inlineStr">
        <is>
          <t xml:space="preserve">N′ 납입자수 현가의 누계</t>
        </is>
      </c>
      <c r="U2" t="inlineStr">
        <is>
          <t xml:space="preserve">S 보장금액의 배수</t>
        </is>
      </c>
      <c r="V2" t="inlineStr">
        <is>
          <t xml:space="preserve">C 급부 발생자의 현가</t>
        </is>
      </c>
      <c r="W2" t="inlineStr">
        <is>
          <t xml:space="preserve">M 보험금 현가의 누계</t>
        </is>
      </c>
      <c r="X2" t="inlineStr">
        <is>
          <t xml:space="preserve">V 연말 책임준비금 (1원당)</t>
        </is>
      </c>
      <c r="Y2" t="inlineStr">
        <is>
          <t xml:space="preserve">V^{10만} 10만원당 책임준비금 (원)</t>
        </is>
      </c>
      <c r="Z2" t="inlineStr">
        <is>
          <t xml:space="preserve">해약공제 해약공제</t>
        </is>
      </c>
      <c r="AA2" t="inlineStr">
        <is>
          <t xml:space="preserve">W^{표준} 표준형 해지환급금 (1원당)</t>
        </is>
      </c>
      <c r="AB2" t="inlineStr">
        <is>
          <t xml:space="preserve">W 해지환급금 (1원당)</t>
        </is>
      </c>
      <c r="AC2" t="inlineStr">
        <is>
          <t xml:space="preserve">납입누계 납입보험료 누계 (1원당)</t>
        </is>
      </c>
      <c r="AD2" t="inlineStr">
        <is>
          <t xml:space="preserve">환급률 환급률</t>
        </is>
      </c>
      <c r="AF2" t="inlineStr">
        <is>
          <t xml:space="preserve">Q 탈퇴율</t>
        </is>
      </c>
      <c r="AG2" t="inlineStr">
        <is>
          <t xml:space="preserve">l 유지자수</t>
        </is>
      </c>
      <c r="AH2" t="inlineStr">
        <is>
          <t xml:space="preserve">F 납입면제까지 묶은 질병 발생률 (곱 결합)</t>
        </is>
      </c>
      <c r="AI2" t="inlineStr">
        <is>
          <t xml:space="preserve">Q′ 납입 탈퇴율</t>
        </is>
      </c>
      <c r="AJ2" t="inlineStr">
        <is>
          <t xml:space="preserve">l′ 납입자수</t>
        </is>
      </c>
      <c r="AK2" t="inlineStr">
        <is>
          <t xml:space="preserve">d 지급자수 (급부 발생자)</t>
        </is>
      </c>
      <c r="AL2" t="inlineStr">
        <is>
          <t xml:space="preserve">D 유지자수의 현가</t>
        </is>
      </c>
      <c r="AM2" t="inlineStr">
        <is>
          <t xml:space="preserve">D′ 납입자수의 현가</t>
        </is>
      </c>
      <c r="AN2" t="inlineStr">
        <is>
          <t xml:space="preserve">N 유지자수 현가의 누계</t>
        </is>
      </c>
      <c r="AO2" t="inlineStr">
        <is>
          <t xml:space="preserve">N′ 납입자수 현가의 누계</t>
        </is>
      </c>
      <c r="AP2" t="inlineStr">
        <is>
          <t xml:space="preserve">S 보장금액의 배수</t>
        </is>
      </c>
      <c r="AQ2" t="inlineStr">
        <is>
          <t xml:space="preserve">C 급부 발생자의 현가</t>
        </is>
      </c>
      <c r="AR2" t="inlineStr">
        <is>
          <t xml:space="preserve">M 보험금 현가의 누계</t>
        </is>
      </c>
      <c r="AS2" t="inlineStr">
        <is>
          <t xml:space="preserve">V 연말 책임준비금 (1원당)</t>
        </is>
      </c>
      <c r="AT2" t="inlineStr">
        <is>
          <t xml:space="preserve">V^{10만} 10만원당 책임준비금 (원)</t>
        </is>
      </c>
      <c r="AU2" t="inlineStr">
        <is>
          <t xml:space="preserve">해약공제 해약공제</t>
        </is>
      </c>
      <c r="AV2" t="inlineStr">
        <is>
          <t xml:space="preserve">W^{표준} 표준형 해지환급금 (1원당)</t>
        </is>
      </c>
      <c r="AW2" t="inlineStr">
        <is>
          <t xml:space="preserve">W 해지환급금 (1원당)</t>
        </is>
      </c>
      <c r="AX2" t="inlineStr">
        <is>
          <t xml:space="preserve">납입누계 납입보험료 누계 (1원당)</t>
        </is>
      </c>
      <c r="AY2" t="inlineStr">
        <is>
          <t xml:space="preserve">환급률 환급률</t>
        </is>
      </c>
      <c r="BB2" t="inlineStr">
        <is>
          <t xml:space="preserve">사망·80% 이상 장해</t>
        </is>
      </c>
      <c r="BC2" t="inlineStr">
        <is>
          <t xml:space="preserve">암 진단</t>
        </is>
      </c>
      <c r="BD2" t="inlineStr">
        <is>
          <t xml:space="preserve">합계</t>
        </is>
      </c>
    </row>
    <row r="3">
      <c r="A3" t="inlineStr">
        <is>
          <t xml:space="preserve">성별</t>
        </is>
      </c>
      <c r="B3" t="inlineStr">
        <is>
          <t xml:space="preserve">남</t>
        </is>
      </c>
      <c r="D3" s="1">
        <v>0</v>
      </c>
      <c r="E3" s="1">
        <f>x_age+D3</f>
      </c>
      <c r="F3" s="3">
        <v>0.00086</v>
      </c>
      <c r="G3" s="3">
        <v>0.000147</v>
      </c>
      <c r="H3" s="3">
        <v>0.00257</v>
      </c>
      <c r="I3" s="3">
        <f>v_disc^(D3)</f>
      </c>
      <c r="J3" s="3">
        <f>v_disc^(D3+0.5)</f>
      </c>
      <c r="K3" s="2">
        <f>MIN(1,((F3+G3)-((F3*G3)/2)))</f>
      </c>
      <c r="L3" s="2">
        <v>100000</v>
      </c>
      <c r="M3" s="2">
        <f>(1-((1-G3)*(1-H3)))</f>
      </c>
      <c r="N3" s="2">
        <f>MIN(1,((F3+M3)-((F3*M3)/2)))</f>
      </c>
      <c r="O3" s="2">
        <v>100000</v>
      </c>
      <c r="P3" s="2">
        <f>(L3*K3)</f>
      </c>
      <c r="Q3" s="2">
        <f>(L3*I3)</f>
      </c>
      <c r="R3" s="2">
        <f>(O3*I3)</f>
      </c>
      <c r="S3" s="2">
        <f>SUM(Q3:Q74)</f>
      </c>
      <c r="T3" s="2">
        <f>SUM(R3:R74)</f>
      </c>
      <c r="U3" s="2">
        <f>1</f>
      </c>
      <c r="V3" s="2">
        <f>((L3*K3)*J3)</f>
      </c>
      <c r="W3" s="2">
        <f>SUMPRODUCT(U3:U73,V3:V73)</f>
      </c>
      <c r="X3" s="2">
        <f>IF(Q3=0,0,((W3+(betaPrime*(S23-S74)))-(($BB$18*(T3-T23))*(D3&lt;=$BB$4)))/Q3)</f>
      </c>
      <c r="Y3" s="4">
        <f>ROUND((X3*100000),0)</f>
      </c>
      <c r="Z3" s="2">
        <f>(($BB$19*MAX((MIN($BB$4,7)-D3),0))/MIN($BB$4,7))</f>
      </c>
      <c r="AA3" s="2">
        <f>MAX((X3-Z3),0)</f>
      </c>
      <c r="AB3" s="2">
        <f>AA3</f>
      </c>
      <c r="AC3" s="2">
        <f>((MIN(D3,$BB$4)*k_freq)*$BB$14)</f>
      </c>
      <c r="AD3" s="2">
        <f>IF(AC3=0,0,AB3/AC3)</f>
      </c>
      <c r="AF3" s="2">
        <f>MIN(1,((F3+H3)-((F3*H3)/2)))</f>
      </c>
      <c r="AG3" s="2">
        <v>100000</v>
      </c>
      <c r="AH3" s="2">
        <f>(1-((1-H3)*(1-G3)))</f>
      </c>
      <c r="AI3" s="2">
        <f>MIN(1,((F3+AH3)-((F3*AH3)/2)))</f>
      </c>
      <c r="AJ3" s="2">
        <v>100000</v>
      </c>
      <c r="AK3" s="2">
        <f>(AG3*H3)</f>
      </c>
      <c r="AL3" s="2">
        <f>(AG3*I3)</f>
      </c>
      <c r="AM3" s="2">
        <f>(AJ3*I3)</f>
      </c>
      <c r="AN3" s="2">
        <f>SUM(AL3:AL63)</f>
      </c>
      <c r="AO3" s="2">
        <f>SUM(AM3:AM63)</f>
      </c>
      <c r="AP3" s="2">
        <f>(1*IF((D3=0),(1-(3/12)),1))</f>
      </c>
      <c r="AQ3" s="2">
        <f>((AG3*H3)*J3)</f>
      </c>
      <c r="AR3" s="2">
        <f>SUMPRODUCT(AP3:AP62,AQ3:AQ62)</f>
      </c>
      <c r="AS3" s="2">
        <f>IF(AL3=0,0,((AR3+(betaPrime*(AN23-AN63)))-(($BC$18*(AO3-AO23))*(D3&lt;=$BC$4)))/AL3)</f>
      </c>
      <c r="AT3" s="4">
        <f>ROUND((AS3*100000),0)</f>
      </c>
      <c r="AU3" s="2">
        <f>(($BC$19*MAX((MIN($BC$4,7)-D3),0))/MIN($BC$4,7))</f>
      </c>
      <c r="AV3" s="2">
        <f>MAX((AS3-AU3),0)</f>
      </c>
      <c r="AW3" s="2">
        <f>AV3</f>
      </c>
      <c r="AX3" s="2">
        <f>((MIN(D3,$BC$4)*k_freq)*$BC$14)</f>
      </c>
      <c r="AY3" s="2">
        <f>IF(AX3=0,0,AW3/AX3)</f>
      </c>
      <c r="BA3" t="inlineStr">
        <is>
          <t xml:space="preserve">보장기간 n (년)</t>
        </is>
      </c>
      <c r="BB3" s="1">
        <v>71</v>
      </c>
      <c r="BC3" s="1">
        <v>60</v>
      </c>
    </row>
    <row r="4">
      <c r="A4" t="inlineStr">
        <is>
          <t xml:space="preserve">보험가입금액 (원)</t>
        </is>
      </c>
      <c r="B4" s="4">
        <v>100000000</v>
      </c>
      <c r="D4" s="1">
        <v>1</v>
      </c>
      <c r="E4" s="1">
        <f>x_age+D4</f>
      </c>
      <c r="F4" s="3">
        <v>0.00094</v>
      </c>
      <c r="G4" s="3">
        <v>0.000159</v>
      </c>
      <c r="H4" s="3">
        <v>0.002702</v>
      </c>
      <c r="I4" s="3">
        <f>v_disc^(D4)</f>
      </c>
      <c r="J4" s="3">
        <f>v_disc^(D4+0.5)</f>
      </c>
      <c r="K4" s="2">
        <f>MIN(1,((F4+G4)-((F4*G4)/2)))</f>
      </c>
      <c r="L4" s="2">
        <f>(L3*(1-K3))</f>
      </c>
      <c r="M4" s="2">
        <f>(1-((1-G4)*(1-H4)))</f>
      </c>
      <c r="N4" s="2">
        <f>MIN(1,((F4+M4)-((F4*M4)/2)))</f>
      </c>
      <c r="O4" s="2">
        <f>(O3*(1-N3))</f>
      </c>
      <c r="P4" s="2">
        <f>(L4*K4)</f>
      </c>
      <c r="Q4" s="2">
        <f>(L4*I4)</f>
      </c>
      <c r="R4" s="2">
        <f>(O4*I4)</f>
      </c>
      <c r="S4" s="2">
        <f>SUM(Q4:Q74)</f>
      </c>
      <c r="T4" s="2">
        <f>SUM(R4:R74)</f>
      </c>
      <c r="U4" s="2">
        <f>1</f>
      </c>
      <c r="V4" s="2">
        <f>((L4*K4)*J4)</f>
      </c>
      <c r="W4" s="2">
        <f>SUMPRODUCT(U4:U73,V4:V73)</f>
      </c>
      <c r="X4" s="2">
        <f>IF(Q4=0,0,((W4+(betaPrime*(S23-S74)))-(($BB$18*(T4-T23))*(D4&lt;=$BB$4)))/Q4)</f>
      </c>
      <c r="Y4" s="4">
        <f>ROUND((X4*100000),0)</f>
      </c>
      <c r="Z4" s="2">
        <f>(($BB$19*MAX((MIN($BB$4,7)-D4),0))/MIN($BB$4,7))</f>
      </c>
      <c r="AA4" s="2">
        <f>MAX((X4-Z4),0)</f>
      </c>
      <c r="AB4" s="2">
        <f>AA4</f>
      </c>
      <c r="AC4" s="2">
        <f>((MIN(D4,$BB$4)*k_freq)*$BB$14)</f>
      </c>
      <c r="AD4" s="2">
        <f>IF(AC4=0,0,AB4/AC4)</f>
      </c>
      <c r="AF4" s="2">
        <f>MIN(1,((F4+H4)-((F4*H4)/2)))</f>
      </c>
      <c r="AG4" s="2">
        <f>(AG3*(1-AF3))</f>
      </c>
      <c r="AH4" s="2">
        <f>(1-((1-H4)*(1-G4)))</f>
      </c>
      <c r="AI4" s="2">
        <f>MIN(1,((F4+AH4)-((F4*AH4)/2)))</f>
      </c>
      <c r="AJ4" s="2">
        <f>(AJ3*(1-AI3))</f>
      </c>
      <c r="AK4" s="2">
        <f>(AG4*H4)</f>
      </c>
      <c r="AL4" s="2">
        <f>(AG4*I4)</f>
      </c>
      <c r="AM4" s="2">
        <f>(AJ4*I4)</f>
      </c>
      <c r="AN4" s="2">
        <f>SUM(AL4:AL63)</f>
      </c>
      <c r="AO4" s="2">
        <f>SUM(AM4:AM63)</f>
      </c>
      <c r="AP4" s="2">
        <f>(1*IF((D4=0),(1-(3/12)),1))</f>
      </c>
      <c r="AQ4" s="2">
        <f>((AG4*H4)*J4)</f>
      </c>
      <c r="AR4" s="2">
        <f>SUMPRODUCT(AP4:AP62,AQ4:AQ62)</f>
      </c>
      <c r="AS4" s="2">
        <f>IF(AL4=0,0,((AR4+(betaPrime*(AN23-AN63)))-(($BC$18*(AO4-AO23))*(D4&lt;=$BC$4)))/AL4)</f>
      </c>
      <c r="AT4" s="4">
        <f>ROUND((AS4*100000),0)</f>
      </c>
      <c r="AU4" s="2">
        <f>(($BC$19*MAX((MIN($BC$4,7)-D4),0))/MIN($BC$4,7))</f>
      </c>
      <c r="AV4" s="2">
        <f>MAX((AS4-AU4),0)</f>
      </c>
      <c r="AW4" s="2">
        <f>AV4</f>
      </c>
      <c r="AX4" s="2">
        <f>((MIN(D4,$BC$4)*k_freq)*$BC$14)</f>
      </c>
      <c r="AY4" s="2">
        <f>IF(AX4=0,0,AW4/AX4)</f>
      </c>
      <c r="BA4" t="inlineStr">
        <is>
          <t xml:space="preserve">납입기간 m (년)</t>
        </is>
      </c>
      <c r="BB4" s="1">
        <v>20</v>
      </c>
      <c r="BC4" s="1">
        <v>20</v>
      </c>
    </row>
    <row r="5">
      <c r="A5" t="inlineStr">
        <is>
          <t xml:space="preserve">납입주기 k (연 납입횟수)</t>
        </is>
      </c>
      <c r="B5" s="4">
        <v>12</v>
      </c>
      <c r="D5" s="1">
        <v>2</v>
      </c>
      <c r="E5" s="1">
        <f>x_age+D5</f>
      </c>
      <c r="F5" s="3">
        <v>0.00105</v>
      </c>
      <c r="G5" s="3">
        <v>0.000171</v>
      </c>
      <c r="H5" s="3">
        <v>0.002822</v>
      </c>
      <c r="I5" s="3">
        <f>v_disc^(D5)</f>
      </c>
      <c r="J5" s="3">
        <f>v_disc^(D5+0.5)</f>
      </c>
      <c r="K5" s="2">
        <f>MIN(1,((F5+G5)-((F5*G5)/2)))</f>
      </c>
      <c r="L5" s="2">
        <f>(L4*(1-K4))</f>
      </c>
      <c r="M5" s="2">
        <f>(1-((1-G5)*(1-H5)))</f>
      </c>
      <c r="N5" s="2">
        <f>MIN(1,((F5+M5)-((F5*M5)/2)))</f>
      </c>
      <c r="O5" s="2">
        <f>(O4*(1-N4))</f>
      </c>
      <c r="P5" s="2">
        <f>(L5*K5)</f>
      </c>
      <c r="Q5" s="2">
        <f>(L5*I5)</f>
      </c>
      <c r="R5" s="2">
        <f>(O5*I5)</f>
      </c>
      <c r="S5" s="2">
        <f>SUM(Q5:Q74)</f>
      </c>
      <c r="T5" s="2">
        <f>SUM(R5:R74)</f>
      </c>
      <c r="U5" s="2">
        <f>1</f>
      </c>
      <c r="V5" s="2">
        <f>((L5*K5)*J5)</f>
      </c>
      <c r="W5" s="2">
        <f>SUMPRODUCT(U5:U73,V5:V73)</f>
      </c>
      <c r="X5" s="2">
        <f>IF(Q5=0,0,((W5+(betaPrime*(S23-S74)))-(($BB$18*(T5-T23))*(D5&lt;=$BB$4)))/Q5)</f>
      </c>
      <c r="Y5" s="4">
        <f>ROUND((X5*100000),0)</f>
      </c>
      <c r="Z5" s="2">
        <f>(($BB$19*MAX((MIN($BB$4,7)-D5),0))/MIN($BB$4,7))</f>
      </c>
      <c r="AA5" s="2">
        <f>MAX((X5-Z5),0)</f>
      </c>
      <c r="AB5" s="2">
        <f>AA5</f>
      </c>
      <c r="AC5" s="2">
        <f>((MIN(D5,$BB$4)*k_freq)*$BB$14)</f>
      </c>
      <c r="AD5" s="2">
        <f>IF(AC5=0,0,AB5/AC5)</f>
      </c>
      <c r="AF5" s="2">
        <f>MIN(1,((F5+H5)-((F5*H5)/2)))</f>
      </c>
      <c r="AG5" s="2">
        <f>(AG4*(1-AF4))</f>
      </c>
      <c r="AH5" s="2">
        <f>(1-((1-H5)*(1-G5)))</f>
      </c>
      <c r="AI5" s="2">
        <f>MIN(1,((F5+AH5)-((F5*AH5)/2)))</f>
      </c>
      <c r="AJ5" s="2">
        <f>(AJ4*(1-AI4))</f>
      </c>
      <c r="AK5" s="2">
        <f>(AG5*H5)</f>
      </c>
      <c r="AL5" s="2">
        <f>(AG5*I5)</f>
      </c>
      <c r="AM5" s="2">
        <f>(AJ5*I5)</f>
      </c>
      <c r="AN5" s="2">
        <f>SUM(AL5:AL63)</f>
      </c>
      <c r="AO5" s="2">
        <f>SUM(AM5:AM63)</f>
      </c>
      <c r="AP5" s="2">
        <f>(1*IF((D5=0),(1-(3/12)),1))</f>
      </c>
      <c r="AQ5" s="2">
        <f>((AG5*H5)*J5)</f>
      </c>
      <c r="AR5" s="2">
        <f>SUMPRODUCT(AP5:AP62,AQ5:AQ62)</f>
      </c>
      <c r="AS5" s="2">
        <f>IF(AL5=0,0,((AR5+(betaPrime*(AN23-AN63)))-(($BC$18*(AO5-AO23))*(D5&lt;=$BC$4)))/AL5)</f>
      </c>
      <c r="AT5" s="4">
        <f>ROUND((AS5*100000),0)</f>
      </c>
      <c r="AU5" s="2">
        <f>(($BC$19*MAX((MIN($BC$4,7)-D5),0))/MIN($BC$4,7))</f>
      </c>
      <c r="AV5" s="2">
        <f>MAX((AS5-AU5),0)</f>
      </c>
      <c r="AW5" s="2">
        <f>AV5</f>
      </c>
      <c r="AX5" s="2">
        <f>((MIN(D5,$BC$4)*k_freq)*$BC$14)</f>
      </c>
      <c r="AY5" s="2">
        <f>IF(AX5=0,0,AW5/AX5)</f>
      </c>
      <c r="BA5" t="inlineStr">
        <is>
          <t xml:space="preserve">보장금액 배수</t>
        </is>
      </c>
      <c r="BB5" s="2">
        <v>1</v>
      </c>
      <c r="BC5" s="2">
        <v>0.5</v>
      </c>
    </row>
    <row r="6">
      <c r="A6" t="inlineStr">
        <is>
          <t xml:space="preserve">적용이율 i</t>
        </is>
      </c>
      <c r="B6" s="3">
        <v>0.025</v>
      </c>
      <c r="D6" s="1">
        <v>3</v>
      </c>
      <c r="E6" s="1">
        <f>x_age+D6</f>
      </c>
      <c r="F6" s="3">
        <v>0.00118</v>
      </c>
      <c r="G6" s="3">
        <v>0.000186</v>
      </c>
      <c r="H6" s="3">
        <v>0.002923</v>
      </c>
      <c r="I6" s="3">
        <f>v_disc^(D6)</f>
      </c>
      <c r="J6" s="3">
        <f>v_disc^(D6+0.5)</f>
      </c>
      <c r="K6" s="2">
        <f>MIN(1,((F6+G6)-((F6*G6)/2)))</f>
      </c>
      <c r="L6" s="2">
        <f>(L5*(1-K5))</f>
      </c>
      <c r="M6" s="2">
        <f>(1-((1-G6)*(1-H6)))</f>
      </c>
      <c r="N6" s="2">
        <f>MIN(1,((F6+M6)-((F6*M6)/2)))</f>
      </c>
      <c r="O6" s="2">
        <f>(O5*(1-N5))</f>
      </c>
      <c r="P6" s="2">
        <f>(L6*K6)</f>
      </c>
      <c r="Q6" s="2">
        <f>(L6*I6)</f>
      </c>
      <c r="R6" s="2">
        <f>(O6*I6)</f>
      </c>
      <c r="S6" s="2">
        <f>SUM(Q6:Q74)</f>
      </c>
      <c r="T6" s="2">
        <f>SUM(R6:R74)</f>
      </c>
      <c r="U6" s="2">
        <f>1</f>
      </c>
      <c r="V6" s="2">
        <f>((L6*K6)*J6)</f>
      </c>
      <c r="W6" s="2">
        <f>SUMPRODUCT(U6:U73,V6:V73)</f>
      </c>
      <c r="X6" s="2">
        <f>IF(Q6=0,0,((W6+(betaPrime*(S23-S74)))-(($BB$18*(T6-T23))*(D6&lt;=$BB$4)))/Q6)</f>
      </c>
      <c r="Y6" s="4">
        <f>ROUND((X6*100000),0)</f>
      </c>
      <c r="Z6" s="2">
        <f>(($BB$19*MAX((MIN($BB$4,7)-D6),0))/MIN($BB$4,7))</f>
      </c>
      <c r="AA6" s="2">
        <f>MAX((X6-Z6),0)</f>
      </c>
      <c r="AB6" s="2">
        <f>AA6</f>
      </c>
      <c r="AC6" s="2">
        <f>((MIN(D6,$BB$4)*k_freq)*$BB$14)</f>
      </c>
      <c r="AD6" s="2">
        <f>IF(AC6=0,0,AB6/AC6)</f>
      </c>
      <c r="AF6" s="2">
        <f>MIN(1,((F6+H6)-((F6*H6)/2)))</f>
      </c>
      <c r="AG6" s="2">
        <f>(AG5*(1-AF5))</f>
      </c>
      <c r="AH6" s="2">
        <f>(1-((1-H6)*(1-G6)))</f>
      </c>
      <c r="AI6" s="2">
        <f>MIN(1,((F6+AH6)-((F6*AH6)/2)))</f>
      </c>
      <c r="AJ6" s="2">
        <f>(AJ5*(1-AI5))</f>
      </c>
      <c r="AK6" s="2">
        <f>(AG6*H6)</f>
      </c>
      <c r="AL6" s="2">
        <f>(AG6*I6)</f>
      </c>
      <c r="AM6" s="2">
        <f>(AJ6*I6)</f>
      </c>
      <c r="AN6" s="2">
        <f>SUM(AL6:AL63)</f>
      </c>
      <c r="AO6" s="2">
        <f>SUM(AM6:AM63)</f>
      </c>
      <c r="AP6" s="2">
        <f>(1*IF((D6=0),(1-(3/12)),1))</f>
      </c>
      <c r="AQ6" s="2">
        <f>((AG6*H6)*J6)</f>
      </c>
      <c r="AR6" s="2">
        <f>SUMPRODUCT(AP6:AP62,AQ6:AQ62)</f>
      </c>
      <c r="AS6" s="2">
        <f>IF(AL6=0,0,((AR6+(betaPrime*(AN23-AN63)))-(($BC$18*(AO6-AO23))*(D6&lt;=$BC$4)))/AL6)</f>
      </c>
      <c r="AT6" s="4">
        <f>ROUND((AS6*100000),0)</f>
      </c>
      <c r="AU6" s="2">
        <f>(($BC$19*MAX((MIN($BC$4,7)-D6),0))/MIN($BC$4,7))</f>
      </c>
      <c r="AV6" s="2">
        <f>MAX((AS6-AU6),0)</f>
      </c>
      <c r="AW6" s="2">
        <f>AV6</f>
      </c>
      <c r="AX6" s="2">
        <f>((MIN(D6,$BC$4)*k_freq)*$BC$14)</f>
      </c>
      <c r="AY6" s="2">
        <f>IF(AX6=0,0,AW6/AX6)</f>
      </c>
      <c r="BA6" t="inlineStr">
        <is>
          <t xml:space="preserve">보장금액 (원) = 가입금액 × 배수</t>
        </is>
      </c>
      <c r="BB6" s="4">
        <f>sum_assured*$BB$5</f>
      </c>
      <c r="BC6" s="4">
        <f>sum_assured*$BC$5</f>
      </c>
    </row>
    <row r="7">
      <c r="A7" t="inlineStr">
        <is>
          <t xml:space="preserve">현가율 v</t>
        </is>
      </c>
      <c r="B7" s="3">
        <f>1/(1+i_rate)</f>
      </c>
      <c r="D7" s="1">
        <v>4</v>
      </c>
      <c r="E7" s="1">
        <f>x_age+D7</f>
      </c>
      <c r="F7" s="3">
        <v>0.00134</v>
      </c>
      <c r="G7" s="3">
        <v>0.000204</v>
      </c>
      <c r="H7" s="3">
        <v>0.003008</v>
      </c>
      <c r="I7" s="3">
        <f>v_disc^(D7)</f>
      </c>
      <c r="J7" s="3">
        <f>v_disc^(D7+0.5)</f>
      </c>
      <c r="K7" s="2">
        <f>MIN(1,((F7+G7)-((F7*G7)/2)))</f>
      </c>
      <c r="L7" s="2">
        <f>(L6*(1-K6))</f>
      </c>
      <c r="M7" s="2">
        <f>(1-((1-G7)*(1-H7)))</f>
      </c>
      <c r="N7" s="2">
        <f>MIN(1,((F7+M7)-((F7*M7)/2)))</f>
      </c>
      <c r="O7" s="2">
        <f>(O6*(1-N6))</f>
      </c>
      <c r="P7" s="2">
        <f>(L7*K7)</f>
      </c>
      <c r="Q7" s="2">
        <f>(L7*I7)</f>
      </c>
      <c r="R7" s="2">
        <f>(O7*I7)</f>
      </c>
      <c r="S7" s="2">
        <f>SUM(Q7:Q74)</f>
      </c>
      <c r="T7" s="2">
        <f>SUM(R7:R74)</f>
      </c>
      <c r="U7" s="2">
        <f>1</f>
      </c>
      <c r="V7" s="2">
        <f>((L7*K7)*J7)</f>
      </c>
      <c r="W7" s="2">
        <f>SUMPRODUCT(U7:U73,V7:V73)</f>
      </c>
      <c r="X7" s="2">
        <f>IF(Q7=0,0,((W7+(betaPrime*(S23-S74)))-(($BB$18*(T7-T23))*(D7&lt;=$BB$4)))/Q7)</f>
      </c>
      <c r="Y7" s="4">
        <f>ROUND((X7*100000),0)</f>
      </c>
      <c r="Z7" s="2">
        <f>(($BB$19*MAX((MIN($BB$4,7)-D7),0))/MIN($BB$4,7))</f>
      </c>
      <c r="AA7" s="2">
        <f>MAX((X7-Z7),0)</f>
      </c>
      <c r="AB7" s="2">
        <f>AA7</f>
      </c>
      <c r="AC7" s="2">
        <f>((MIN(D7,$BB$4)*k_freq)*$BB$14)</f>
      </c>
      <c r="AD7" s="2">
        <f>IF(AC7=0,0,AB7/AC7)</f>
      </c>
      <c r="AF7" s="2">
        <f>MIN(1,((F7+H7)-((F7*H7)/2)))</f>
      </c>
      <c r="AG7" s="2">
        <f>(AG6*(1-AF6))</f>
      </c>
      <c r="AH7" s="2">
        <f>(1-((1-H7)*(1-G7)))</f>
      </c>
      <c r="AI7" s="2">
        <f>MIN(1,((F7+AH7)-((F7*AH7)/2)))</f>
      </c>
      <c r="AJ7" s="2">
        <f>(AJ6*(1-AI6))</f>
      </c>
      <c r="AK7" s="2">
        <f>(AG7*H7)</f>
      </c>
      <c r="AL7" s="2">
        <f>(AG7*I7)</f>
      </c>
      <c r="AM7" s="2">
        <f>(AJ7*I7)</f>
      </c>
      <c r="AN7" s="2">
        <f>SUM(AL7:AL63)</f>
      </c>
      <c r="AO7" s="2">
        <f>SUM(AM7:AM63)</f>
      </c>
      <c r="AP7" s="2">
        <f>(1*IF((D7=0),(1-(3/12)),1))</f>
      </c>
      <c r="AQ7" s="2">
        <f>((AG7*H7)*J7)</f>
      </c>
      <c r="AR7" s="2">
        <f>SUMPRODUCT(AP7:AP62,AQ7:AQ62)</f>
      </c>
      <c r="AS7" s="2">
        <f>IF(AL7=0,0,((AR7+(betaPrime*(AN23-AN63)))-(($BC$18*(AO7-AO23))*(D7&lt;=$BC$4)))/AL7)</f>
      </c>
      <c r="AT7" s="4">
        <f>ROUND((AS7*100000),0)</f>
      </c>
      <c r="AU7" s="2">
        <f>(($BC$19*MAX((MIN($BC$4,7)-D7),0))/MIN($BC$4,7))</f>
      </c>
      <c r="AV7" s="2">
        <f>MAX((AS7-AU7),0)</f>
      </c>
      <c r="AW7" s="2">
        <f>AV7</f>
      </c>
      <c r="AX7" s="2">
        <f>((MIN(D7,$BC$4)*k_freq)*$BC$14)</f>
      </c>
      <c r="AY7" s="2">
        <f>IF(AX7=0,0,AW7/AX7)</f>
      </c>
      <c r="BA7" t="inlineStr">
        <is>
          <t xml:space="preserve">α_P (적용값 — n &lt; 20 이면 × n/20)</t>
        </is>
      </c>
      <c r="BB7" s="3">
        <v>1</v>
      </c>
      <c r="BC7" s="3">
        <v>1</v>
      </c>
    </row>
    <row r="8">
      <c r="A8" t="inlineStr">
        <is>
          <t xml:space="preserve">표준이율 (해약공제 기준 신계약비의 표준기초율 값에)</t>
        </is>
      </c>
      <c r="B8" s="3">
        <v>0.0325</v>
      </c>
      <c r="D8" s="1">
        <v>5</v>
      </c>
      <c r="E8" s="1">
        <f>x_age+D8</f>
      </c>
      <c r="F8" s="3">
        <v>0.00152</v>
      </c>
      <c r="G8" s="3">
        <v>0.000229</v>
      </c>
      <c r="H8" s="3">
        <v>0.003091</v>
      </c>
      <c r="I8" s="3">
        <f>v_disc^(D8)</f>
      </c>
      <c r="J8" s="3">
        <f>v_disc^(D8+0.5)</f>
      </c>
      <c r="K8" s="2">
        <f>MIN(1,((F8+G8)-((F8*G8)/2)))</f>
      </c>
      <c r="L8" s="2">
        <f>(L7*(1-K7))</f>
      </c>
      <c r="M8" s="2">
        <f>(1-((1-G8)*(1-H8)))</f>
      </c>
      <c r="N8" s="2">
        <f>MIN(1,((F8+M8)-((F8*M8)/2)))</f>
      </c>
      <c r="O8" s="2">
        <f>(O7*(1-N7))</f>
      </c>
      <c r="P8" s="2">
        <f>(L8*K8)</f>
      </c>
      <c r="Q8" s="2">
        <f>(L8*I8)</f>
      </c>
      <c r="R8" s="2">
        <f>(O8*I8)</f>
      </c>
      <c r="S8" s="2">
        <f>SUM(Q8:Q74)</f>
      </c>
      <c r="T8" s="2">
        <f>SUM(R8:R74)</f>
      </c>
      <c r="U8" s="2">
        <f>1</f>
      </c>
      <c r="V8" s="2">
        <f>((L8*K8)*J8)</f>
      </c>
      <c r="W8" s="2">
        <f>SUMPRODUCT(U8:U73,V8:V73)</f>
      </c>
      <c r="X8" s="2">
        <f>IF(Q8=0,0,((W8+(betaPrime*(S23-S74)))-(($BB$18*(T8-T23))*(D8&lt;=$BB$4)))/Q8)</f>
      </c>
      <c r="Y8" s="4">
        <f>ROUND((X8*100000),0)</f>
      </c>
      <c r="Z8" s="2">
        <f>(($BB$19*MAX((MIN($BB$4,7)-D8),0))/MIN($BB$4,7))</f>
      </c>
      <c r="AA8" s="2">
        <f>MAX((X8-Z8),0)</f>
      </c>
      <c r="AB8" s="2">
        <f>AA8</f>
      </c>
      <c r="AC8" s="2">
        <f>((MIN(D8,$BB$4)*k_freq)*$BB$14)</f>
      </c>
      <c r="AD8" s="2">
        <f>IF(AC8=0,0,AB8/AC8)</f>
      </c>
      <c r="AF8" s="2">
        <f>MIN(1,((F8+H8)-((F8*H8)/2)))</f>
      </c>
      <c r="AG8" s="2">
        <f>(AG7*(1-AF7))</f>
      </c>
      <c r="AH8" s="2">
        <f>(1-((1-H8)*(1-G8)))</f>
      </c>
      <c r="AI8" s="2">
        <f>MIN(1,((F8+AH8)-((F8*AH8)/2)))</f>
      </c>
      <c r="AJ8" s="2">
        <f>(AJ7*(1-AI7))</f>
      </c>
      <c r="AK8" s="2">
        <f>(AG8*H8)</f>
      </c>
      <c r="AL8" s="2">
        <f>(AG8*I8)</f>
      </c>
      <c r="AM8" s="2">
        <f>(AJ8*I8)</f>
      </c>
      <c r="AN8" s="2">
        <f>SUM(AL8:AL63)</f>
      </c>
      <c r="AO8" s="2">
        <f>SUM(AM8:AM63)</f>
      </c>
      <c r="AP8" s="2">
        <f>(1*IF((D8=0),(1-(3/12)),1))</f>
      </c>
      <c r="AQ8" s="2">
        <f>((AG8*H8)*J8)</f>
      </c>
      <c r="AR8" s="2">
        <f>SUMPRODUCT(AP8:AP62,AQ8:AQ62)</f>
      </c>
      <c r="AS8" s="2">
        <f>IF(AL8=0,0,((AR8+(betaPrime*(AN23-AN63)))-(($BC$18*(AO8-AO23))*(D8&lt;=$BC$4)))/AL8)</f>
      </c>
      <c r="AT8" s="4">
        <f>ROUND((AS8*100000),0)</f>
      </c>
      <c r="AU8" s="2">
        <f>(($BC$19*MAX((MIN($BC$4,7)-D8),0))/MIN($BC$4,7))</f>
      </c>
      <c r="AV8" s="2">
        <f>MAX((AS8-AU8),0)</f>
      </c>
      <c r="AW8" s="2">
        <f>AV8</f>
      </c>
      <c r="AX8" s="2">
        <f>((MIN(D8,$BC$4)*k_freq)*$BC$14)</f>
      </c>
      <c r="AY8" s="2">
        <f>IF(AX8=0,0,AW8/AX8)</f>
      </c>
      <c r="BA8" t="inlineStr">
        <is>
          <t xml:space="preserve">α^표준 (표준이율로 같은 식을 계산한 신계약비 — 앱이 계산한 값)</t>
        </is>
      </c>
      <c r="BB8" s="3">
        <v>0.029630000000000004</v>
      </c>
      <c r="BC8" s="3">
        <v>0.02247</v>
      </c>
    </row>
    <row r="9">
      <c r="A9" t="inlineStr">
        <is>
          <t xml:space="preserve">α_S</t>
        </is>
      </c>
      <c r="B9" s="3">
        <v>0.01</v>
      </c>
      <c r="D9" s="1">
        <v>6</v>
      </c>
      <c r="E9" s="1">
        <f>x_age+D9</f>
      </c>
      <c r="F9" s="3">
        <v>0.0017</v>
      </c>
      <c r="G9" s="3">
        <v>0.000259</v>
      </c>
      <c r="H9" s="3">
        <v>0.003196</v>
      </c>
      <c r="I9" s="3">
        <f>v_disc^(D9)</f>
      </c>
      <c r="J9" s="3">
        <f>v_disc^(D9+0.5)</f>
      </c>
      <c r="K9" s="2">
        <f>MIN(1,((F9+G9)-((F9*G9)/2)))</f>
      </c>
      <c r="L9" s="2">
        <f>(L8*(1-K8))</f>
      </c>
      <c r="M9" s="2">
        <f>(1-((1-G9)*(1-H9)))</f>
      </c>
      <c r="N9" s="2">
        <f>MIN(1,((F9+M9)-((F9*M9)/2)))</f>
      </c>
      <c r="O9" s="2">
        <f>(O8*(1-N8))</f>
      </c>
      <c r="P9" s="2">
        <f>(L9*K9)</f>
      </c>
      <c r="Q9" s="2">
        <f>(L9*I9)</f>
      </c>
      <c r="R9" s="2">
        <f>(O9*I9)</f>
      </c>
      <c r="S9" s="2">
        <f>SUM(Q9:Q74)</f>
      </c>
      <c r="T9" s="2">
        <f>SUM(R9:R74)</f>
      </c>
      <c r="U9" s="2">
        <f>1</f>
      </c>
      <c r="V9" s="2">
        <f>((L9*K9)*J9)</f>
      </c>
      <c r="W9" s="2">
        <f>SUMPRODUCT(U9:U73,V9:V73)</f>
      </c>
      <c r="X9" s="2">
        <f>IF(Q9=0,0,((W9+(betaPrime*(S23-S74)))-(($BB$18*(T9-T23))*(D9&lt;=$BB$4)))/Q9)</f>
      </c>
      <c r="Y9" s="4">
        <f>ROUND((X9*100000),0)</f>
      </c>
      <c r="Z9" s="2">
        <f>(($BB$19*MAX((MIN($BB$4,7)-D9),0))/MIN($BB$4,7))</f>
      </c>
      <c r="AA9" s="2">
        <f>MAX((X9-Z9),0)</f>
      </c>
      <c r="AB9" s="2">
        <f>AA9</f>
      </c>
      <c r="AC9" s="2">
        <f>((MIN(D9,$BB$4)*k_freq)*$BB$14)</f>
      </c>
      <c r="AD9" s="2">
        <f>IF(AC9=0,0,AB9/AC9)</f>
      </c>
      <c r="AF9" s="2">
        <f>MIN(1,((F9+H9)-((F9*H9)/2)))</f>
      </c>
      <c r="AG9" s="2">
        <f>(AG8*(1-AF8))</f>
      </c>
      <c r="AH9" s="2">
        <f>(1-((1-H9)*(1-G9)))</f>
      </c>
      <c r="AI9" s="2">
        <f>MIN(1,((F9+AH9)-((F9*AH9)/2)))</f>
      </c>
      <c r="AJ9" s="2">
        <f>(AJ8*(1-AI8))</f>
      </c>
      <c r="AK9" s="2">
        <f>(AG9*H9)</f>
      </c>
      <c r="AL9" s="2">
        <f>(AG9*I9)</f>
      </c>
      <c r="AM9" s="2">
        <f>(AJ9*I9)</f>
      </c>
      <c r="AN9" s="2">
        <f>SUM(AL9:AL63)</f>
      </c>
      <c r="AO9" s="2">
        <f>SUM(AM9:AM63)</f>
      </c>
      <c r="AP9" s="2">
        <f>(1*IF((D9=0),(1-(3/12)),1))</f>
      </c>
      <c r="AQ9" s="2">
        <f>((AG9*H9)*J9)</f>
      </c>
      <c r="AR9" s="2">
        <f>SUMPRODUCT(AP9:AP62,AQ9:AQ62)</f>
      </c>
      <c r="AS9" s="2">
        <f>IF(AL9=0,0,((AR9+(betaPrime*(AN23-AN63)))-(($BC$18*(AO9-AO23))*(D9&lt;=$BC$4)))/AL9)</f>
      </c>
      <c r="AT9" s="4">
        <f>ROUND((AS9*100000),0)</f>
      </c>
      <c r="AU9" s="2">
        <f>(($BC$19*MAX((MIN($BC$4,7)-D9),0))/MIN($BC$4,7))</f>
      </c>
      <c r="AV9" s="2">
        <f>MAX((AS9-AU9),0)</f>
      </c>
      <c r="AW9" s="2">
        <f>AV9</f>
      </c>
      <c r="AX9" s="2">
        <f>((MIN(D9,$BC$4)*k_freq)*$BC$14)</f>
      </c>
      <c r="AY9" s="2">
        <f>IF(AX9=0,0,AW9/AX9)</f>
      </c>
      <c r="BA9" t="inlineStr">
        <is>
          <t xml:space="preserve">N* 연납 환산 납입기수</t>
        </is>
      </c>
      <c r="BB9" s="2">
        <f>(k_freq*((T3-T23)-(((k_freq-1)/(2*k_freq))*(R3-R23))))</f>
      </c>
      <c r="BC9" s="2">
        <f>(k_freq*((AO3-AO23)-(((k_freq-1)/(2*k_freq))*(AM3-AM23))))</f>
      </c>
    </row>
    <row r="10">
      <c r="A10" t="inlineStr">
        <is>
          <t xml:space="preserve">β_S</t>
        </is>
      </c>
      <c r="B10" s="3">
        <v>0.0015</v>
      </c>
      <c r="D10" s="1">
        <v>7</v>
      </c>
      <c r="E10" s="1">
        <f>x_age+D10</f>
      </c>
      <c r="F10" s="3">
        <v>0.00188</v>
      </c>
      <c r="G10" s="3">
        <v>0.000294</v>
      </c>
      <c r="H10" s="3">
        <v>0.00334</v>
      </c>
      <c r="I10" s="3">
        <f>v_disc^(D10)</f>
      </c>
      <c r="J10" s="3">
        <f>v_disc^(D10+0.5)</f>
      </c>
      <c r="K10" s="2">
        <f>MIN(1,((F10+G10)-((F10*G10)/2)))</f>
      </c>
      <c r="L10" s="2">
        <f>(L9*(1-K9))</f>
      </c>
      <c r="M10" s="2">
        <f>(1-((1-G10)*(1-H10)))</f>
      </c>
      <c r="N10" s="2">
        <f>MIN(1,((F10+M10)-((F10*M10)/2)))</f>
      </c>
      <c r="O10" s="2">
        <f>(O9*(1-N9))</f>
      </c>
      <c r="P10" s="2">
        <f>(L10*K10)</f>
      </c>
      <c r="Q10" s="2">
        <f>(L10*I10)</f>
      </c>
      <c r="R10" s="2">
        <f>(O10*I10)</f>
      </c>
      <c r="S10" s="2">
        <f>SUM(Q10:Q74)</f>
      </c>
      <c r="T10" s="2">
        <f>SUM(R10:R74)</f>
      </c>
      <c r="U10" s="2">
        <f>1</f>
      </c>
      <c r="V10" s="2">
        <f>((L10*K10)*J10)</f>
      </c>
      <c r="W10" s="2">
        <f>SUMPRODUCT(U10:U73,V10:V73)</f>
      </c>
      <c r="X10" s="2">
        <f>IF(Q10=0,0,((W10+(betaPrime*(S23-S74)))-(($BB$18*(T10-T23))*(D10&lt;=$BB$4)))/Q10)</f>
      </c>
      <c r="Y10" s="4">
        <f>ROUND((X10*100000),0)</f>
      </c>
      <c r="Z10" s="2">
        <f>(($BB$19*MAX((MIN($BB$4,7)-D10),0))/MIN($BB$4,7))</f>
      </c>
      <c r="AA10" s="2">
        <f>MAX((X10-Z10),0)</f>
      </c>
      <c r="AB10" s="2">
        <f>AA10</f>
      </c>
      <c r="AC10" s="2">
        <f>((MIN(D10,$BB$4)*k_freq)*$BB$14)</f>
      </c>
      <c r="AD10" s="2">
        <f>IF(AC10=0,0,AB10/AC10)</f>
      </c>
      <c r="AF10" s="2">
        <f>MIN(1,((F10+H10)-((F10*H10)/2)))</f>
      </c>
      <c r="AG10" s="2">
        <f>(AG9*(1-AF9))</f>
      </c>
      <c r="AH10" s="2">
        <f>(1-((1-H10)*(1-G10)))</f>
      </c>
      <c r="AI10" s="2">
        <f>MIN(1,((F10+AH10)-((F10*AH10)/2)))</f>
      </c>
      <c r="AJ10" s="2">
        <f>(AJ9*(1-AI9))</f>
      </c>
      <c r="AK10" s="2">
        <f>(AG10*H10)</f>
      </c>
      <c r="AL10" s="2">
        <f>(AG10*I10)</f>
      </c>
      <c r="AM10" s="2">
        <f>(AJ10*I10)</f>
      </c>
      <c r="AN10" s="2">
        <f>SUM(AL10:AL63)</f>
      </c>
      <c r="AO10" s="2">
        <f>SUM(AM10:AM63)</f>
      </c>
      <c r="AP10" s="2">
        <f>(1*IF((D10=0),(1-(3/12)),1))</f>
      </c>
      <c r="AQ10" s="2">
        <f>((AG10*H10)*J10)</f>
      </c>
      <c r="AR10" s="2">
        <f>SUMPRODUCT(AP10:AP62,AQ10:AQ62)</f>
      </c>
      <c r="AS10" s="2">
        <f>IF(AL10=0,0,((AR10+(betaPrime*(AN23-AN63)))-(($BC$18*(AO10-AO23))*(D10&lt;=$BC$4)))/AL10)</f>
      </c>
      <c r="AT10" s="4">
        <f>ROUND((AS10*100000),0)</f>
      </c>
      <c r="AU10" s="2">
        <f>(($BC$19*MAX((MIN($BC$4,7)-D10),0))/MIN($BC$4,7))</f>
      </c>
      <c r="AV10" s="2">
        <f>MAX((AS10-AU10),0)</f>
      </c>
      <c r="AW10" s="2">
        <f>AV10</f>
      </c>
      <c r="AX10" s="2">
        <f>((MIN(D10,$BC$4)*k_freq)*$BC$14)</f>
      </c>
      <c r="AY10" s="2">
        <f>IF(AX10=0,0,AW10/AX10)</f>
      </c>
      <c r="BA10" t="inlineStr">
        <is>
          <t xml:space="preserve">PVB 보험금의 현가</t>
        </is>
      </c>
      <c r="BB10" s="3">
        <f>W3</f>
      </c>
      <c r="BC10" s="3">
        <f>AR3</f>
      </c>
    </row>
    <row r="11">
      <c r="A11" t="inlineStr">
        <is>
          <t xml:space="preserve">β_G</t>
        </is>
      </c>
      <c r="B11" s="3">
        <v>0.045</v>
      </c>
      <c r="D11" s="1">
        <v>8</v>
      </c>
      <c r="E11" s="1">
        <f>x_age+D11</f>
      </c>
      <c r="F11" s="3">
        <v>0.00206</v>
      </c>
      <c r="G11" s="3">
        <v>0.000329</v>
      </c>
      <c r="H11" s="3">
        <v>0.003524</v>
      </c>
      <c r="I11" s="3">
        <f>v_disc^(D11)</f>
      </c>
      <c r="J11" s="3">
        <f>v_disc^(D11+0.5)</f>
      </c>
      <c r="K11" s="2">
        <f>MIN(1,((F11+G11)-((F11*G11)/2)))</f>
      </c>
      <c r="L11" s="2">
        <f>(L10*(1-K10))</f>
      </c>
      <c r="M11" s="2">
        <f>(1-((1-G11)*(1-H11)))</f>
      </c>
      <c r="N11" s="2">
        <f>MIN(1,((F11+M11)-((F11*M11)/2)))</f>
      </c>
      <c r="O11" s="2">
        <f>(O10*(1-N10))</f>
      </c>
      <c r="P11" s="2">
        <f>(L11*K11)</f>
      </c>
      <c r="Q11" s="2">
        <f>(L11*I11)</f>
      </c>
      <c r="R11" s="2">
        <f>(O11*I11)</f>
      </c>
      <c r="S11" s="2">
        <f>SUM(Q11:Q74)</f>
      </c>
      <c r="T11" s="2">
        <f>SUM(R11:R74)</f>
      </c>
      <c r="U11" s="2">
        <f>1</f>
      </c>
      <c r="V11" s="2">
        <f>((L11*K11)*J11)</f>
      </c>
      <c r="W11" s="2">
        <f>SUMPRODUCT(U11:U73,V11:V73)</f>
      </c>
      <c r="X11" s="2">
        <f>IF(Q11=0,0,((W11+(betaPrime*(S23-S74)))-(($BB$18*(T11-T23))*(D11&lt;=$BB$4)))/Q11)</f>
      </c>
      <c r="Y11" s="4">
        <f>ROUND((X11*100000),0)</f>
      </c>
      <c r="Z11" s="2">
        <f>(($BB$19*MAX((MIN($BB$4,7)-D11),0))/MIN($BB$4,7))</f>
      </c>
      <c r="AA11" s="2">
        <f>MAX((X11-Z11),0)</f>
      </c>
      <c r="AB11" s="2">
        <f>AA11</f>
      </c>
      <c r="AC11" s="2">
        <f>((MIN(D11,$BB$4)*k_freq)*$BB$14)</f>
      </c>
      <c r="AD11" s="2">
        <f>IF(AC11=0,0,AB11/AC11)</f>
      </c>
      <c r="AF11" s="2">
        <f>MIN(1,((F11+H11)-((F11*H11)/2)))</f>
      </c>
      <c r="AG11" s="2">
        <f>(AG10*(1-AF10))</f>
      </c>
      <c r="AH11" s="2">
        <f>(1-((1-H11)*(1-G11)))</f>
      </c>
      <c r="AI11" s="2">
        <f>MIN(1,((F11+AH11)-((F11*AH11)/2)))</f>
      </c>
      <c r="AJ11" s="2">
        <f>(AJ10*(1-AI10))</f>
      </c>
      <c r="AK11" s="2">
        <f>(AG11*H11)</f>
      </c>
      <c r="AL11" s="2">
        <f>(AG11*I11)</f>
      </c>
      <c r="AM11" s="2">
        <f>(AJ11*I11)</f>
      </c>
      <c r="AN11" s="2">
        <f>SUM(AL11:AL63)</f>
      </c>
      <c r="AO11" s="2">
        <f>SUM(AM11:AM63)</f>
      </c>
      <c r="AP11" s="2">
        <f>(1*IF((D11=0),(1-(3/12)),1))</f>
      </c>
      <c r="AQ11" s="2">
        <f>((AG11*H11)*J11)</f>
      </c>
      <c r="AR11" s="2">
        <f>SUMPRODUCT(AP11:AP62,AQ11:AQ62)</f>
      </c>
      <c r="AS11" s="2">
        <f>IF(AL11=0,0,((AR11+(betaPrime*(AN23-AN63)))-(($BC$18*(AO11-AO23))*(D11&lt;=$BC$4)))/AL11)</f>
      </c>
      <c r="AT11" s="4">
        <f>ROUND((AS11*100000),0)</f>
      </c>
      <c r="AU11" s="2">
        <f>(($BC$19*MAX((MIN($BC$4,7)-D11),0))/MIN($BC$4,7))</f>
      </c>
      <c r="AV11" s="2">
        <f>MAX((AS11-AU11),0)</f>
      </c>
      <c r="AW11" s="2">
        <f>AV11</f>
      </c>
      <c r="AX11" s="2">
        <f>((MIN(D11,$BC$4)*k_freq)*$BC$14)</f>
      </c>
      <c r="AY11" s="2">
        <f>IF(AX11=0,0,AW11/AX11)</f>
      </c>
      <c r="BA11" t="inlineStr">
        <is>
          <t xml:space="preserve">PVB′ 해지급부를 더한 현가</t>
        </is>
      </c>
      <c r="BB11" t="inlineStr">
        <is>
          <t xml:space="preserve">—</t>
        </is>
      </c>
      <c r="BC11" t="inlineStr">
        <is>
          <t xml:space="preserve">—</t>
        </is>
      </c>
    </row>
    <row r="12">
      <c r="A12" t="inlineStr">
        <is>
          <t xml:space="preserve">β′</t>
        </is>
      </c>
      <c r="B12" s="3">
        <v>0.001</v>
      </c>
      <c r="D12" s="1">
        <v>9</v>
      </c>
      <c r="E12" s="1">
        <f>x_age+D12</f>
      </c>
      <c r="F12" s="3">
        <v>0.00225</v>
      </c>
      <c r="G12" s="3">
        <v>0.000367</v>
      </c>
      <c r="H12" s="3">
        <v>0.003741</v>
      </c>
      <c r="I12" s="3">
        <f>v_disc^(D12)</f>
      </c>
      <c r="J12" s="3">
        <f>v_disc^(D12+0.5)</f>
      </c>
      <c r="K12" s="2">
        <f>MIN(1,((F12+G12)-((F12*G12)/2)))</f>
      </c>
      <c r="L12" s="2">
        <f>(L11*(1-K11))</f>
      </c>
      <c r="M12" s="2">
        <f>(1-((1-G12)*(1-H12)))</f>
      </c>
      <c r="N12" s="2">
        <f>MIN(1,((F12+M12)-((F12*M12)/2)))</f>
      </c>
      <c r="O12" s="2">
        <f>(O11*(1-N11))</f>
      </c>
      <c r="P12" s="2">
        <f>(L12*K12)</f>
      </c>
      <c r="Q12" s="2">
        <f>(L12*I12)</f>
      </c>
      <c r="R12" s="2">
        <f>(O12*I12)</f>
      </c>
      <c r="S12" s="2">
        <f>SUM(Q12:Q74)</f>
      </c>
      <c r="T12" s="2">
        <f>SUM(R12:R74)</f>
      </c>
      <c r="U12" s="2">
        <f>1</f>
      </c>
      <c r="V12" s="2">
        <f>((L12*K12)*J12)</f>
      </c>
      <c r="W12" s="2">
        <f>SUMPRODUCT(U12:U73,V12:V73)</f>
      </c>
      <c r="X12" s="2">
        <f>IF(Q12=0,0,((W12+(betaPrime*(S23-S74)))-(($BB$18*(T12-T23))*(D12&lt;=$BB$4)))/Q12)</f>
      </c>
      <c r="Y12" s="4">
        <f>ROUND((X12*100000),0)</f>
      </c>
      <c r="Z12" s="2">
        <f>(($BB$19*MAX((MIN($BB$4,7)-D12),0))/MIN($BB$4,7))</f>
      </c>
      <c r="AA12" s="2">
        <f>MAX((X12-Z12),0)</f>
      </c>
      <c r="AB12" s="2">
        <f>AA12</f>
      </c>
      <c r="AC12" s="2">
        <f>((MIN(D12,$BB$4)*k_freq)*$BB$14)</f>
      </c>
      <c r="AD12" s="2">
        <f>IF(AC12=0,0,AB12/AC12)</f>
      </c>
      <c r="AF12" s="2">
        <f>MIN(1,((F12+H12)-((F12*H12)/2)))</f>
      </c>
      <c r="AG12" s="2">
        <f>(AG11*(1-AF11))</f>
      </c>
      <c r="AH12" s="2">
        <f>(1-((1-H12)*(1-G12)))</f>
      </c>
      <c r="AI12" s="2">
        <f>MIN(1,((F12+AH12)-((F12*AH12)/2)))</f>
      </c>
      <c r="AJ12" s="2">
        <f>(AJ11*(1-AI11))</f>
      </c>
      <c r="AK12" s="2">
        <f>(AG12*H12)</f>
      </c>
      <c r="AL12" s="2">
        <f>(AG12*I12)</f>
      </c>
      <c r="AM12" s="2">
        <f>(AJ12*I12)</f>
      </c>
      <c r="AN12" s="2">
        <f>SUM(AL12:AL63)</f>
      </c>
      <c r="AO12" s="2">
        <f>SUM(AM12:AM63)</f>
      </c>
      <c r="AP12" s="2">
        <f>(1*IF((D12=0),(1-(3/12)),1))</f>
      </c>
      <c r="AQ12" s="2">
        <f>((AG12*H12)*J12)</f>
      </c>
      <c r="AR12" s="2">
        <f>SUMPRODUCT(AP12:AP62,AQ12:AQ62)</f>
      </c>
      <c r="AS12" s="2">
        <f>IF(AL12=0,0,((AR12+(betaPrime*(AN23-AN63)))-(($BC$18*(AO12-AO23))*(D12&lt;=$BC$4)))/AL12)</f>
      </c>
      <c r="AT12" s="4">
        <f>ROUND((AS12*100000),0)</f>
      </c>
      <c r="AU12" s="2">
        <f>(($BC$19*MAX((MIN($BC$4,7)-D12),0))/MIN($BC$4,7))</f>
      </c>
      <c r="AV12" s="2">
        <f>MAX((AS12-AU12),0)</f>
      </c>
      <c r="AW12" s="2">
        <f>AV12</f>
      </c>
      <c r="AX12" s="2">
        <f>((MIN(D12,$BC$4)*k_freq)*$BC$14)</f>
      </c>
      <c r="AY12" s="2">
        <f>IF(AX12=0,0,AW12/AX12)</f>
      </c>
      <c r="BA12" t="inlineStr">
        <is>
          <t xml:space="preserve">P 순보험료 (1원당)</t>
        </is>
      </c>
      <c r="BB12" s="3">
        <f>($BB$10/$BB$9)</f>
      </c>
      <c r="BC12" s="3">
        <f>($BC$10/$BC$9)</f>
      </c>
    </row>
    <row r="13">
      <c r="A13" t="inlineStr">
        <is>
          <t xml:space="preserve">γ</t>
        </is>
      </c>
      <c r="B13" s="3">
        <v>0.025</v>
      </c>
      <c r="D13" s="1">
        <v>10</v>
      </c>
      <c r="E13" s="1">
        <f>x_age+D13</f>
      </c>
      <c r="F13" s="3">
        <v>0.00244</v>
      </c>
      <c r="G13" s="3">
        <v>0.00026</v>
      </c>
      <c r="H13" s="3">
        <v>0.003988</v>
      </c>
      <c r="I13" s="3">
        <f>v_disc^(D13)</f>
      </c>
      <c r="J13" s="3">
        <f>v_disc^(D13+0.5)</f>
      </c>
      <c r="K13" s="2">
        <f>MIN(1,((F13+G13)-((F13*G13)/2)))</f>
      </c>
      <c r="L13" s="2">
        <f>(L12*(1-K12))</f>
      </c>
      <c r="M13" s="2">
        <f>(1-((1-G13)*(1-H13)))</f>
      </c>
      <c r="N13" s="2">
        <f>MIN(1,((F13+M13)-((F13*M13)/2)))</f>
      </c>
      <c r="O13" s="2">
        <f>(O12*(1-N12))</f>
      </c>
      <c r="P13" s="2">
        <f>(L13*K13)</f>
      </c>
      <c r="Q13" s="2">
        <f>(L13*I13)</f>
      </c>
      <c r="R13" s="2">
        <f>(O13*I13)</f>
      </c>
      <c r="S13" s="2">
        <f>SUM(Q13:Q74)</f>
      </c>
      <c r="T13" s="2">
        <f>SUM(R13:R74)</f>
      </c>
      <c r="U13" s="2">
        <f>1</f>
      </c>
      <c r="V13" s="2">
        <f>((L13*K13)*J13)</f>
      </c>
      <c r="W13" s="2">
        <f>SUMPRODUCT(U13:U73,V13:V73)</f>
      </c>
      <c r="X13" s="2">
        <f>IF(Q13=0,0,((W13+(betaPrime*(S23-S74)))-(($BB$18*(T13-T23))*(D13&lt;=$BB$4)))/Q13)</f>
      </c>
      <c r="Y13" s="4">
        <f>ROUND((X13*100000),0)</f>
      </c>
      <c r="Z13" s="2">
        <f>(($BB$19*MAX((MIN($BB$4,7)-D13),0))/MIN($BB$4,7))</f>
      </c>
      <c r="AA13" s="2">
        <f>MAX((X13-Z13),0)</f>
      </c>
      <c r="AB13" s="2">
        <f>AA13</f>
      </c>
      <c r="AC13" s="2">
        <f>((MIN(D13,$BB$4)*k_freq)*$BB$14)</f>
      </c>
      <c r="AD13" s="2">
        <f>IF(AC13=0,0,AB13/AC13)</f>
      </c>
      <c r="AF13" s="2">
        <f>MIN(1,((F13+H13)-((F13*H13)/2)))</f>
      </c>
      <c r="AG13" s="2">
        <f>(AG12*(1-AF12))</f>
      </c>
      <c r="AH13" s="2">
        <f>(1-((1-H13)*(1-G13)))</f>
      </c>
      <c r="AI13" s="2">
        <f>MIN(1,((F13+AH13)-((F13*AH13)/2)))</f>
      </c>
      <c r="AJ13" s="2">
        <f>(AJ12*(1-AI12))</f>
      </c>
      <c r="AK13" s="2">
        <f>(AG13*H13)</f>
      </c>
      <c r="AL13" s="2">
        <f>(AG13*I13)</f>
      </c>
      <c r="AM13" s="2">
        <f>(AJ13*I13)</f>
      </c>
      <c r="AN13" s="2">
        <f>SUM(AL13:AL63)</f>
      </c>
      <c r="AO13" s="2">
        <f>SUM(AM13:AM63)</f>
      </c>
      <c r="AP13" s="2">
        <f>(1*IF((D13=0),(1-(3/12)),1))</f>
      </c>
      <c r="AQ13" s="2">
        <f>((AG13*H13)*J13)</f>
      </c>
      <c r="AR13" s="2">
        <f>SUMPRODUCT(AP13:AP62,AQ13:AQ62)</f>
      </c>
      <c r="AS13" s="2">
        <f>IF(AL13=0,0,((AR13+(betaPrime*(AN23-AN63)))-(($BC$18*(AO13-AO23))*(D13&lt;=$BC$4)))/AL13)</f>
      </c>
      <c r="AT13" s="4">
        <f>ROUND((AS13*100000),0)</f>
      </c>
      <c r="AU13" s="2">
        <f>(($BC$19*MAX((MIN($BC$4,7)-D13),0))/MIN($BC$4,7))</f>
      </c>
      <c r="AV13" s="2">
        <f>MAX((AS13-AU13),0)</f>
      </c>
      <c r="AW13" s="2">
        <f>AV13</f>
      </c>
      <c r="AX13" s="2">
        <f>((MIN(D13,$BC$4)*k_freq)*$BC$14)</f>
      </c>
      <c r="AY13" s="2">
        <f>IF(AX13=0,0,AW13/AX13)</f>
      </c>
      <c r="BA13" t="inlineStr">
        <is>
          <t xml:space="preserve">P_base 기준연납순보험료</t>
        </is>
      </c>
      <c r="BB13" s="3">
        <f>($BB$10/(T3-T23))</f>
      </c>
      <c r="BC13" s="3">
        <f>($BC$10/(AO3-AO23))</f>
      </c>
    </row>
    <row r="14">
      <c r="A14" t="inlineStr">
        <is>
          <t xml:space="preserve">ρ 납입기간 중 해지환급금 비율 (저해지 — 표준형 0)</t>
        </is>
      </c>
      <c r="B14" s="2">
        <v>0</v>
      </c>
      <c r="D14" s="1">
        <v>11</v>
      </c>
      <c r="E14" s="1">
        <f>x_age+D14</f>
      </c>
      <c r="F14" s="3">
        <v>0.00265</v>
      </c>
      <c r="G14" s="3">
        <v>0.000281</v>
      </c>
      <c r="H14" s="3">
        <v>0.004268</v>
      </c>
      <c r="I14" s="3">
        <f>v_disc^(D14)</f>
      </c>
      <c r="J14" s="3">
        <f>v_disc^(D14+0.5)</f>
      </c>
      <c r="K14" s="2">
        <f>MIN(1,((F14+G14)-((F14*G14)/2)))</f>
      </c>
      <c r="L14" s="2">
        <f>(L13*(1-K13))</f>
      </c>
      <c r="M14" s="2">
        <f>(1-((1-G14)*(1-H14)))</f>
      </c>
      <c r="N14" s="2">
        <f>MIN(1,((F14+M14)-((F14*M14)/2)))</f>
      </c>
      <c r="O14" s="2">
        <f>(O13*(1-N13))</f>
      </c>
      <c r="P14" s="2">
        <f>(L14*K14)</f>
      </c>
      <c r="Q14" s="2">
        <f>(L14*I14)</f>
      </c>
      <c r="R14" s="2">
        <f>(O14*I14)</f>
      </c>
      <c r="S14" s="2">
        <f>SUM(Q14:Q74)</f>
      </c>
      <c r="T14" s="2">
        <f>SUM(R14:R74)</f>
      </c>
      <c r="U14" s="2">
        <f>1</f>
      </c>
      <c r="V14" s="2">
        <f>((L14*K14)*J14)</f>
      </c>
      <c r="W14" s="2">
        <f>SUMPRODUCT(U14:U73,V14:V73)</f>
      </c>
      <c r="X14" s="2">
        <f>IF(Q14=0,0,((W14+(betaPrime*(S23-S74)))-(($BB$18*(T14-T23))*(D14&lt;=$BB$4)))/Q14)</f>
      </c>
      <c r="Y14" s="4">
        <f>ROUND((X14*100000),0)</f>
      </c>
      <c r="Z14" s="2">
        <f>(($BB$19*MAX((MIN($BB$4,7)-D14),0))/MIN($BB$4,7))</f>
      </c>
      <c r="AA14" s="2">
        <f>MAX((X14-Z14),0)</f>
      </c>
      <c r="AB14" s="2">
        <f>AA14</f>
      </c>
      <c r="AC14" s="2">
        <f>((MIN(D14,$BB$4)*k_freq)*$BB$14)</f>
      </c>
      <c r="AD14" s="2">
        <f>IF(AC14=0,0,AB14/AC14)</f>
      </c>
      <c r="AF14" s="2">
        <f>MIN(1,((F14+H14)-((F14*H14)/2)))</f>
      </c>
      <c r="AG14" s="2">
        <f>(AG13*(1-AF13))</f>
      </c>
      <c r="AH14" s="2">
        <f>(1-((1-H14)*(1-G14)))</f>
      </c>
      <c r="AI14" s="2">
        <f>MIN(1,((F14+AH14)-((F14*AH14)/2)))</f>
      </c>
      <c r="AJ14" s="2">
        <f>(AJ13*(1-AI13))</f>
      </c>
      <c r="AK14" s="2">
        <f>(AG14*H14)</f>
      </c>
      <c r="AL14" s="2">
        <f>(AG14*I14)</f>
      </c>
      <c r="AM14" s="2">
        <f>(AJ14*I14)</f>
      </c>
      <c r="AN14" s="2">
        <f>SUM(AL14:AL63)</f>
      </c>
      <c r="AO14" s="2">
        <f>SUM(AM14:AM63)</f>
      </c>
      <c r="AP14" s="2">
        <f>(1*IF((D14=0),(1-(3/12)),1))</f>
      </c>
      <c r="AQ14" s="2">
        <f>((AG14*H14)*J14)</f>
      </c>
      <c r="AR14" s="2">
        <f>SUMPRODUCT(AP14:AP62,AQ14:AQ62)</f>
      </c>
      <c r="AS14" s="2">
        <f>IF(AL14=0,0,((AR14+(betaPrime*(AN23-AN63)))-(($BC$18*(AO14-AO23))*(D14&lt;=$BC$4)))/AL14)</f>
      </c>
      <c r="AT14" s="4">
        <f>ROUND((AS14*100000),0)</f>
      </c>
      <c r="AU14" s="2">
        <f>(($BC$19*MAX((MIN($BC$4,7)-D14),0))/MIN($BC$4,7))</f>
      </c>
      <c r="AV14" s="2">
        <f>MAX((AS14-AU14),0)</f>
      </c>
      <c r="AW14" s="2">
        <f>AV14</f>
      </c>
      <c r="AX14" s="2">
        <f>((MIN(D14,$BC$4)*k_freq)*$BC$14)</f>
      </c>
      <c r="AY14" s="2">
        <f>IF(AX14=0,0,AW14/AX14)</f>
      </c>
      <c r="BA14" t="inlineStr">
        <is>
          <t xml:space="preserve">G 영업보험료 (1원당)</t>
        </is>
      </c>
      <c r="BB14" s="3">
        <f>(((($BB$12+(((alphaS+($BB$7*$BB$13))*R3)/$BB$9))+(betaS/k_freq))+((betaPrime*(S23-S74))/$BB$9))/((1-betaG)-gamma))</f>
      </c>
      <c r="BC14" s="3">
        <f>(((($BC$12+(((alphaS+($BC$7*$BC$13))*AM3)/$BC$9))+(betaS/k_freq))+((betaPrime*(AN23-AN63))/$BC$9))/((1-betaG)-gamma))</f>
      </c>
    </row>
    <row r="15">
      <c r="D15" s="1">
        <v>12</v>
      </c>
      <c r="E15" s="1">
        <f>x_age+D15</f>
      </c>
      <c r="F15" s="3">
        <v>0.0029</v>
      </c>
      <c r="G15" s="3">
        <v>0.000302</v>
      </c>
      <c r="H15" s="3">
        <v>0.004591</v>
      </c>
      <c r="I15" s="3">
        <f>v_disc^(D15)</f>
      </c>
      <c r="J15" s="3">
        <f>v_disc^(D15+0.5)</f>
      </c>
      <c r="K15" s="2">
        <f>MIN(1,((F15+G15)-((F15*G15)/2)))</f>
      </c>
      <c r="L15" s="2">
        <f>(L14*(1-K14))</f>
      </c>
      <c r="M15" s="2">
        <f>(1-((1-G15)*(1-H15)))</f>
      </c>
      <c r="N15" s="2">
        <f>MIN(1,((F15+M15)-((F15*M15)/2)))</f>
      </c>
      <c r="O15" s="2">
        <f>(O14*(1-N14))</f>
      </c>
      <c r="P15" s="2">
        <f>(L15*K15)</f>
      </c>
      <c r="Q15" s="2">
        <f>(L15*I15)</f>
      </c>
      <c r="R15" s="2">
        <f>(O15*I15)</f>
      </c>
      <c r="S15" s="2">
        <f>SUM(Q15:Q74)</f>
      </c>
      <c r="T15" s="2">
        <f>SUM(R15:R74)</f>
      </c>
      <c r="U15" s="2">
        <f>1</f>
      </c>
      <c r="V15" s="2">
        <f>((L15*K15)*J15)</f>
      </c>
      <c r="W15" s="2">
        <f>SUMPRODUCT(U15:U73,V15:V73)</f>
      </c>
      <c r="X15" s="2">
        <f>IF(Q15=0,0,((W15+(betaPrime*(S23-S74)))-(($BB$18*(T15-T23))*(D15&lt;=$BB$4)))/Q15)</f>
      </c>
      <c r="Y15" s="4">
        <f>ROUND((X15*100000),0)</f>
      </c>
      <c r="Z15" s="2">
        <f>(($BB$19*MAX((MIN($BB$4,7)-D15),0))/MIN($BB$4,7))</f>
      </c>
      <c r="AA15" s="2">
        <f>MAX((X15-Z15),0)</f>
      </c>
      <c r="AB15" s="2">
        <f>AA15</f>
      </c>
      <c r="AC15" s="2">
        <f>((MIN(D15,$BB$4)*k_freq)*$BB$14)</f>
      </c>
      <c r="AD15" s="2">
        <f>IF(AC15=0,0,AB15/AC15)</f>
      </c>
      <c r="AF15" s="2">
        <f>MIN(1,((F15+H15)-((F15*H15)/2)))</f>
      </c>
      <c r="AG15" s="2">
        <f>(AG14*(1-AF14))</f>
      </c>
      <c r="AH15" s="2">
        <f>(1-((1-H15)*(1-G15)))</f>
      </c>
      <c r="AI15" s="2">
        <f>MIN(1,((F15+AH15)-((F15*AH15)/2)))</f>
      </c>
      <c r="AJ15" s="2">
        <f>(AJ14*(1-AI14))</f>
      </c>
      <c r="AK15" s="2">
        <f>(AG15*H15)</f>
      </c>
      <c r="AL15" s="2">
        <f>(AG15*I15)</f>
      </c>
      <c r="AM15" s="2">
        <f>(AJ15*I15)</f>
      </c>
      <c r="AN15" s="2">
        <f>SUM(AL15:AL63)</f>
      </c>
      <c r="AO15" s="2">
        <f>SUM(AM15:AM63)</f>
      </c>
      <c r="AP15" s="2">
        <f>(1*IF((D15=0),(1-(3/12)),1))</f>
      </c>
      <c r="AQ15" s="2">
        <f>((AG15*H15)*J15)</f>
      </c>
      <c r="AR15" s="2">
        <f>SUMPRODUCT(AP15:AP62,AQ15:AQ62)</f>
      </c>
      <c r="AS15" s="2">
        <f>IF(AL15=0,0,((AR15+(betaPrime*(AN23-AN63)))-(($BC$18*(AO15-AO23))*(D15&lt;=$BC$4)))/AL15)</f>
      </c>
      <c r="AT15" s="4">
        <f>ROUND((AS15*100000),0)</f>
      </c>
      <c r="AU15" s="2">
        <f>(($BC$19*MAX((MIN($BC$4,7)-D15),0))/MIN($BC$4,7))</f>
      </c>
      <c r="AV15" s="2">
        <f>MAX((AS15-AU15),0)</f>
      </c>
      <c r="AW15" s="2">
        <f>AV15</f>
      </c>
      <c r="AX15" s="2">
        <f>((MIN(D15,$BC$4)*k_freq)*$BC$14)</f>
      </c>
      <c r="AY15" s="2">
        <f>IF(AX15=0,0,AW15/AX15)</f>
      </c>
      <c r="BA15" t="inlineStr">
        <is>
          <t xml:space="preserve">G₁ 1원당 보험료 (소수 6자리)</t>
        </is>
      </c>
      <c r="BB15" s="3">
        <f>ROUND($BB$14,6)</f>
      </c>
      <c r="BC15" s="3">
        <f>ROUND($BC$14,6)</f>
      </c>
    </row>
    <row r="16">
      <c r="A16" t="inlineStr">
        <is>
          <t xml:space="preserve">값은 계약·기초율과 위험률뿐 — 현가율부터는 모두 수식입니다. 담보마다 다른 값(기간·배수)은 맨 오른쪽 결과 칸에 있습니다.</t>
        </is>
      </c>
      <c r="D16" s="1">
        <v>13</v>
      </c>
      <c r="E16" s="1">
        <f>x_age+D16</f>
      </c>
      <c r="F16" s="3">
        <v>0.00317</v>
      </c>
      <c r="G16" s="3">
        <v>0.000323</v>
      </c>
      <c r="H16" s="3">
        <v>0.004955</v>
      </c>
      <c r="I16" s="3">
        <f>v_disc^(D16)</f>
      </c>
      <c r="J16" s="3">
        <f>v_disc^(D16+0.5)</f>
      </c>
      <c r="K16" s="2">
        <f>MIN(1,((F16+G16)-((F16*G16)/2)))</f>
      </c>
      <c r="L16" s="2">
        <f>(L15*(1-K15))</f>
      </c>
      <c r="M16" s="2">
        <f>(1-((1-G16)*(1-H16)))</f>
      </c>
      <c r="N16" s="2">
        <f>MIN(1,((F16+M16)-((F16*M16)/2)))</f>
      </c>
      <c r="O16" s="2">
        <f>(O15*(1-N15))</f>
      </c>
      <c r="P16" s="2">
        <f>(L16*K16)</f>
      </c>
      <c r="Q16" s="2">
        <f>(L16*I16)</f>
      </c>
      <c r="R16" s="2">
        <f>(O16*I16)</f>
      </c>
      <c r="S16" s="2">
        <f>SUM(Q16:Q74)</f>
      </c>
      <c r="T16" s="2">
        <f>SUM(R16:R74)</f>
      </c>
      <c r="U16" s="2">
        <f>1</f>
      </c>
      <c r="V16" s="2">
        <f>((L16*K16)*J16)</f>
      </c>
      <c r="W16" s="2">
        <f>SUMPRODUCT(U16:U73,V16:V73)</f>
      </c>
      <c r="X16" s="2">
        <f>IF(Q16=0,0,((W16+(betaPrime*(S23-S74)))-(($BB$18*(T16-T23))*(D16&lt;=$BB$4)))/Q16)</f>
      </c>
      <c r="Y16" s="4">
        <f>ROUND((X16*100000),0)</f>
      </c>
      <c r="Z16" s="2">
        <f>(($BB$19*MAX((MIN($BB$4,7)-D16),0))/MIN($BB$4,7))</f>
      </c>
      <c r="AA16" s="2">
        <f>MAX((X16-Z16),0)</f>
      </c>
      <c r="AB16" s="2">
        <f>AA16</f>
      </c>
      <c r="AC16" s="2">
        <f>((MIN(D16,$BB$4)*k_freq)*$BB$14)</f>
      </c>
      <c r="AD16" s="2">
        <f>IF(AC16=0,0,AB16/AC16)</f>
      </c>
      <c r="AF16" s="2">
        <f>MIN(1,((F16+H16)-((F16*H16)/2)))</f>
      </c>
      <c r="AG16" s="2">
        <f>(AG15*(1-AF15))</f>
      </c>
      <c r="AH16" s="2">
        <f>(1-((1-H16)*(1-G16)))</f>
      </c>
      <c r="AI16" s="2">
        <f>MIN(1,((F16+AH16)-((F16*AH16)/2)))</f>
      </c>
      <c r="AJ16" s="2">
        <f>(AJ15*(1-AI15))</f>
      </c>
      <c r="AK16" s="2">
        <f>(AG16*H16)</f>
      </c>
      <c r="AL16" s="2">
        <f>(AG16*I16)</f>
      </c>
      <c r="AM16" s="2">
        <f>(AJ16*I16)</f>
      </c>
      <c r="AN16" s="2">
        <f>SUM(AL16:AL63)</f>
      </c>
      <c r="AO16" s="2">
        <f>SUM(AM16:AM63)</f>
      </c>
      <c r="AP16" s="2">
        <f>(1*IF((D16=0),(1-(3/12)),1))</f>
      </c>
      <c r="AQ16" s="2">
        <f>((AG16*H16)*J16)</f>
      </c>
      <c r="AR16" s="2">
        <f>SUMPRODUCT(AP16:AP62,AQ16:AQ62)</f>
      </c>
      <c r="AS16" s="2">
        <f>IF(AL16=0,0,((AR16+(betaPrime*(AN23-AN63)))-(($BC$18*(AO16-AO23))*(D16&lt;=$BC$4)))/AL16)</f>
      </c>
      <c r="AT16" s="4">
        <f>ROUND((AS16*100000),0)</f>
      </c>
      <c r="AU16" s="2">
        <f>(($BC$19*MAX((MIN($BC$4,7)-D16),0))/MIN($BC$4,7))</f>
      </c>
      <c r="AV16" s="2">
        <f>MAX((AS16-AU16),0)</f>
      </c>
      <c r="AW16" s="2">
        <f>AV16</f>
      </c>
      <c r="AX16" s="2">
        <f>((MIN(D16,$BC$4)*k_freq)*$BC$14)</f>
      </c>
      <c r="AY16" s="2">
        <f>IF(AX16=0,0,AW16/AX16)</f>
      </c>
      <c r="BA16" t="inlineStr">
        <is>
          <t xml:space="preserve">10만원당 보험료 (원)</t>
        </is>
      </c>
      <c r="BB16" s="4">
        <f>ROUND(($BB$15*100000),0)</f>
      </c>
      <c r="BC16" s="4">
        <f>ROUND(($BC$15*100000),0)</f>
      </c>
      <c r="BD16" s="4">
        <f>SUM(BB16:BC16)</f>
      </c>
    </row>
    <row r="17">
      <c r="D17" s="1">
        <v>14</v>
      </c>
      <c r="E17" s="1">
        <f>x_age+D17</f>
      </c>
      <c r="F17" s="3">
        <v>0.00348</v>
      </c>
      <c r="G17" s="3">
        <v>0.000342</v>
      </c>
      <c r="H17" s="3">
        <v>0.005359</v>
      </c>
      <c r="I17" s="3">
        <f>v_disc^(D17)</f>
      </c>
      <c r="J17" s="3">
        <f>v_disc^(D17+0.5)</f>
      </c>
      <c r="K17" s="2">
        <f>MIN(1,((F17+G17)-((F17*G17)/2)))</f>
      </c>
      <c r="L17" s="2">
        <f>(L16*(1-K16))</f>
      </c>
      <c r="M17" s="2">
        <f>(1-((1-G17)*(1-H17)))</f>
      </c>
      <c r="N17" s="2">
        <f>MIN(1,((F17+M17)-((F17*M17)/2)))</f>
      </c>
      <c r="O17" s="2">
        <f>(O16*(1-N16))</f>
      </c>
      <c r="P17" s="2">
        <f>(L17*K17)</f>
      </c>
      <c r="Q17" s="2">
        <f>(L17*I17)</f>
      </c>
      <c r="R17" s="2">
        <f>(O17*I17)</f>
      </c>
      <c r="S17" s="2">
        <f>SUM(Q17:Q74)</f>
      </c>
      <c r="T17" s="2">
        <f>SUM(R17:R74)</f>
      </c>
      <c r="U17" s="2">
        <f>1</f>
      </c>
      <c r="V17" s="2">
        <f>((L17*K17)*J17)</f>
      </c>
      <c r="W17" s="2">
        <f>SUMPRODUCT(U17:U73,V17:V73)</f>
      </c>
      <c r="X17" s="2">
        <f>IF(Q17=0,0,((W17+(betaPrime*(S23-S74)))-(($BB$18*(T17-T23))*(D17&lt;=$BB$4)))/Q17)</f>
      </c>
      <c r="Y17" s="4">
        <f>ROUND((X17*100000),0)</f>
      </c>
      <c r="Z17" s="2">
        <f>(($BB$19*MAX((MIN($BB$4,7)-D17),0))/MIN($BB$4,7))</f>
      </c>
      <c r="AA17" s="2">
        <f>MAX((X17-Z17),0)</f>
      </c>
      <c r="AB17" s="2">
        <f>AA17</f>
      </c>
      <c r="AC17" s="2">
        <f>((MIN(D17,$BB$4)*k_freq)*$BB$14)</f>
      </c>
      <c r="AD17" s="2">
        <f>IF(AC17=0,0,AB17/AC17)</f>
      </c>
      <c r="AF17" s="2">
        <f>MIN(1,((F17+H17)-((F17*H17)/2)))</f>
      </c>
      <c r="AG17" s="2">
        <f>(AG16*(1-AF16))</f>
      </c>
      <c r="AH17" s="2">
        <f>(1-((1-H17)*(1-G17)))</f>
      </c>
      <c r="AI17" s="2">
        <f>MIN(1,((F17+AH17)-((F17*AH17)/2)))</f>
      </c>
      <c r="AJ17" s="2">
        <f>(AJ16*(1-AI16))</f>
      </c>
      <c r="AK17" s="2">
        <f>(AG17*H17)</f>
      </c>
      <c r="AL17" s="2">
        <f>(AG17*I17)</f>
      </c>
      <c r="AM17" s="2">
        <f>(AJ17*I17)</f>
      </c>
      <c r="AN17" s="2">
        <f>SUM(AL17:AL63)</f>
      </c>
      <c r="AO17" s="2">
        <f>SUM(AM17:AM63)</f>
      </c>
      <c r="AP17" s="2">
        <f>(1*IF((D17=0),(1-(3/12)),1))</f>
      </c>
      <c r="AQ17" s="2">
        <f>((AG17*H17)*J17)</f>
      </c>
      <c r="AR17" s="2">
        <f>SUMPRODUCT(AP17:AP62,AQ17:AQ62)</f>
      </c>
      <c r="AS17" s="2">
        <f>IF(AL17=0,0,((AR17+(betaPrime*(AN23-AN63)))-(($BC$18*(AO17-AO23))*(D17&lt;=$BC$4)))/AL17)</f>
      </c>
      <c r="AT17" s="4">
        <f>ROUND((AS17*100000),0)</f>
      </c>
      <c r="AU17" s="2">
        <f>(($BC$19*MAX((MIN($BC$4,7)-D17),0))/MIN($BC$4,7))</f>
      </c>
      <c r="AV17" s="2">
        <f>MAX((AS17-AU17),0)</f>
      </c>
      <c r="AW17" s="2">
        <f>AV17</f>
      </c>
      <c r="AX17" s="2">
        <f>((MIN(D17,$BC$4)*k_freq)*$BC$14)</f>
      </c>
      <c r="AY17" s="2">
        <f>IF(AX17=0,0,AW17/AX17)</f>
      </c>
      <c r="BA17" t="inlineStr">
        <is>
          <t xml:space="preserve">담보 보험료 (원) = 10만원당 × 보장금액/10만</t>
        </is>
      </c>
      <c r="BB17" s="4">
        <f>$BB$16*($BB$6/100000)</f>
      </c>
      <c r="BC17" s="4">
        <f>$BC$16*($BC$6/100000)</f>
      </c>
      <c r="BD17" s="4">
        <f>SUM(BB17:BC17)</f>
      </c>
    </row>
    <row r="18">
      <c r="D18" s="1">
        <v>15</v>
      </c>
      <c r="E18" s="1">
        <f>x_age+D18</f>
      </c>
      <c r="F18" s="3">
        <v>0.00381</v>
      </c>
      <c r="G18" s="3">
        <v>0.000359</v>
      </c>
      <c r="H18" s="3">
        <v>0.005801</v>
      </c>
      <c r="I18" s="3">
        <f>v_disc^(D18)</f>
      </c>
      <c r="J18" s="3">
        <f>v_disc^(D18+0.5)</f>
      </c>
      <c r="K18" s="2">
        <f>MIN(1,((F18+G18)-((F18*G18)/2)))</f>
      </c>
      <c r="L18" s="2">
        <f>(L17*(1-K17))</f>
      </c>
      <c r="M18" s="2">
        <f>(1-((1-G18)*(1-H18)))</f>
      </c>
      <c r="N18" s="2">
        <f>MIN(1,((F18+M18)-((F18*M18)/2)))</f>
      </c>
      <c r="O18" s="2">
        <f>(O17*(1-N17))</f>
      </c>
      <c r="P18" s="2">
        <f>(L18*K18)</f>
      </c>
      <c r="Q18" s="2">
        <f>(L18*I18)</f>
      </c>
      <c r="R18" s="2">
        <f>(O18*I18)</f>
      </c>
      <c r="S18" s="2">
        <f>SUM(Q18:Q74)</f>
      </c>
      <c r="T18" s="2">
        <f>SUM(R18:R74)</f>
      </c>
      <c r="U18" s="2">
        <f>1</f>
      </c>
      <c r="V18" s="2">
        <f>((L18*K18)*J18)</f>
      </c>
      <c r="W18" s="2">
        <f>SUMPRODUCT(U18:U73,V18:V73)</f>
      </c>
      <c r="X18" s="2">
        <f>IF(Q18=0,0,((W18+(betaPrime*(S23-S74)))-(($BB$18*(T18-T23))*(D18&lt;=$BB$4)))/Q18)</f>
      </c>
      <c r="Y18" s="4">
        <f>ROUND((X18*100000),0)</f>
      </c>
      <c r="Z18" s="2">
        <f>(($BB$19*MAX((MIN($BB$4,7)-D18),0))/MIN($BB$4,7))</f>
      </c>
      <c r="AA18" s="2">
        <f>MAX((X18-Z18),0)</f>
      </c>
      <c r="AB18" s="2">
        <f>AA18</f>
      </c>
      <c r="AC18" s="2">
        <f>((MIN(D18,$BB$4)*k_freq)*$BB$14)</f>
      </c>
      <c r="AD18" s="2">
        <f>IF(AC18=0,0,AB18/AC18)</f>
      </c>
      <c r="AF18" s="2">
        <f>MIN(1,((F18+H18)-((F18*H18)/2)))</f>
      </c>
      <c r="AG18" s="2">
        <f>(AG17*(1-AF17))</f>
      </c>
      <c r="AH18" s="2">
        <f>(1-((1-H18)*(1-G18)))</f>
      </c>
      <c r="AI18" s="2">
        <f>MIN(1,((F18+AH18)-((F18*AH18)/2)))</f>
      </c>
      <c r="AJ18" s="2">
        <f>(AJ17*(1-AI17))</f>
      </c>
      <c r="AK18" s="2">
        <f>(AG18*H18)</f>
      </c>
      <c r="AL18" s="2">
        <f>(AG18*I18)</f>
      </c>
      <c r="AM18" s="2">
        <f>(AJ18*I18)</f>
      </c>
      <c r="AN18" s="2">
        <f>SUM(AL18:AL63)</f>
      </c>
      <c r="AO18" s="2">
        <f>SUM(AM18:AM63)</f>
      </c>
      <c r="AP18" s="2">
        <f>(1*IF((D18=0),(1-(3/12)),1))</f>
      </c>
      <c r="AQ18" s="2">
        <f>((AG18*H18)*J18)</f>
      </c>
      <c r="AR18" s="2">
        <f>SUMPRODUCT(AP18:AP62,AQ18:AQ62)</f>
      </c>
      <c r="AS18" s="2">
        <f>IF(AL18=0,0,((AR18+(betaPrime*(AN23-AN63)))-(($BC$18*(AO18-AO23))*(D18&lt;=$BC$4)))/AL18)</f>
      </c>
      <c r="AT18" s="4">
        <f>ROUND((AS18*100000),0)</f>
      </c>
      <c r="AU18" s="2">
        <f>(($BC$19*MAX((MIN($BC$4,7)-D18),0))/MIN($BC$4,7))</f>
      </c>
      <c r="AV18" s="2">
        <f>MAX((AS18-AU18),0)</f>
      </c>
      <c r="AW18" s="2">
        <f>AV18</f>
      </c>
      <c r="AX18" s="2">
        <f>((MIN(D18,$BC$4)*k_freq)*$BC$14)</f>
      </c>
      <c r="AY18" s="2">
        <f>IF(AX18=0,0,AW18/AX18)</f>
      </c>
      <c r="BA18" t="inlineStr">
        <is>
          <t xml:space="preserve">P_β 준비금 산출용 순보험료</t>
        </is>
      </c>
      <c r="BB18" s="3">
        <f>(($BB$10+(betaPrime*(S23-S74)))/(T3-T23))</f>
      </c>
      <c r="BC18" s="3">
        <f>(($BC$10+(betaPrime*(AN23-AN63)))/(AO3-AO23))</f>
      </c>
    </row>
    <row r="19">
      <c r="D19" s="1">
        <v>16</v>
      </c>
      <c r="E19" s="1">
        <f>x_age+D19</f>
      </c>
      <c r="F19" s="3">
        <v>0.00419</v>
      </c>
      <c r="G19" s="3">
        <v>0.000375</v>
      </c>
      <c r="H19" s="3">
        <v>0.006293</v>
      </c>
      <c r="I19" s="3">
        <f>v_disc^(D19)</f>
      </c>
      <c r="J19" s="3">
        <f>v_disc^(D19+0.5)</f>
      </c>
      <c r="K19" s="2">
        <f>MIN(1,((F19+G19)-((F19*G19)/2)))</f>
      </c>
      <c r="L19" s="2">
        <f>(L18*(1-K18))</f>
      </c>
      <c r="M19" s="2">
        <f>(1-((1-G19)*(1-H19)))</f>
      </c>
      <c r="N19" s="2">
        <f>MIN(1,((F19+M19)-((F19*M19)/2)))</f>
      </c>
      <c r="O19" s="2">
        <f>(O18*(1-N18))</f>
      </c>
      <c r="P19" s="2">
        <f>(L19*K19)</f>
      </c>
      <c r="Q19" s="2">
        <f>(L19*I19)</f>
      </c>
      <c r="R19" s="2">
        <f>(O19*I19)</f>
      </c>
      <c r="S19" s="2">
        <f>SUM(Q19:Q74)</f>
      </c>
      <c r="T19" s="2">
        <f>SUM(R19:R74)</f>
      </c>
      <c r="U19" s="2">
        <f>1</f>
      </c>
      <c r="V19" s="2">
        <f>((L19*K19)*J19)</f>
      </c>
      <c r="W19" s="2">
        <f>SUMPRODUCT(U19:U73,V19:V73)</f>
      </c>
      <c r="X19" s="2">
        <f>IF(Q19=0,0,((W19+(betaPrime*(S23-S74)))-(($BB$18*(T19-T23))*(D19&lt;=$BB$4)))/Q19)</f>
      </c>
      <c r="Y19" s="4">
        <f>ROUND((X19*100000),0)</f>
      </c>
      <c r="Z19" s="2">
        <f>(($BB$19*MAX((MIN($BB$4,7)-D19),0))/MIN($BB$4,7))</f>
      </c>
      <c r="AA19" s="2">
        <f>MAX((X19-Z19),0)</f>
      </c>
      <c r="AB19" s="2">
        <f>AA19</f>
      </c>
      <c r="AC19" s="2">
        <f>((MIN(D19,$BB$4)*k_freq)*$BB$14)</f>
      </c>
      <c r="AD19" s="2">
        <f>IF(AC19=0,0,AB19/AC19)</f>
      </c>
      <c r="AF19" s="2">
        <f>MIN(1,((F19+H19)-((F19*H19)/2)))</f>
      </c>
      <c r="AG19" s="2">
        <f>(AG18*(1-AF18))</f>
      </c>
      <c r="AH19" s="2">
        <f>(1-((1-H19)*(1-G19)))</f>
      </c>
      <c r="AI19" s="2">
        <f>MIN(1,((F19+AH19)-((F19*AH19)/2)))</f>
      </c>
      <c r="AJ19" s="2">
        <f>(AJ18*(1-AI18))</f>
      </c>
      <c r="AK19" s="2">
        <f>(AG19*H19)</f>
      </c>
      <c r="AL19" s="2">
        <f>(AG19*I19)</f>
      </c>
      <c r="AM19" s="2">
        <f>(AJ19*I19)</f>
      </c>
      <c r="AN19" s="2">
        <f>SUM(AL19:AL63)</f>
      </c>
      <c r="AO19" s="2">
        <f>SUM(AM19:AM63)</f>
      </c>
      <c r="AP19" s="2">
        <f>(1*IF((D19=0),(1-(3/12)),1))</f>
      </c>
      <c r="AQ19" s="2">
        <f>((AG19*H19)*J19)</f>
      </c>
      <c r="AR19" s="2">
        <f>SUMPRODUCT(AP19:AP62,AQ19:AQ62)</f>
      </c>
      <c r="AS19" s="2">
        <f>IF(AL19=0,0,((AR19+(betaPrime*(AN23-AN63)))-(($BC$18*(AO19-AO23))*(D19&lt;=$BC$4)))/AL19)</f>
      </c>
      <c r="AT19" s="4">
        <f>ROUND((AS19*100000),0)</f>
      </c>
      <c r="AU19" s="2">
        <f>(($BC$19*MAX((MIN($BC$4,7)-D19),0))/MIN($BC$4,7))</f>
      </c>
      <c r="AV19" s="2">
        <f>MAX((AS19-AU19),0)</f>
      </c>
      <c r="AW19" s="2">
        <f>AV19</f>
      </c>
      <c r="AX19" s="2">
        <f>((MIN(D19,$BC$4)*k_freq)*$BC$14)</f>
      </c>
      <c r="AY19" s="2">
        <f>IF(AX19=0,0,AW19/AX19)</f>
      </c>
      <c r="BA19" t="inlineStr">
        <is>
          <t xml:space="preserve">α^공제 해약공제 기준 신계약비</t>
        </is>
      </c>
      <c r="BB19" s="3">
        <f>MIN((alphaS+($BB$7*ROUND($BB$13,5))),$BB$8)</f>
      </c>
      <c r="BC19" s="3">
        <f>MIN((alphaS+($BC$7*ROUND($BC$13,5))),$BC$8)</f>
      </c>
    </row>
    <row r="20">
      <c r="D20" s="1">
        <v>17</v>
      </c>
      <c r="E20" s="1">
        <f>x_age+D20</f>
      </c>
      <c r="F20" s="3">
        <v>0.00463</v>
      </c>
      <c r="G20" s="3">
        <v>0.000389</v>
      </c>
      <c r="H20" s="3">
        <v>0.006852</v>
      </c>
      <c r="I20" s="3">
        <f>v_disc^(D20)</f>
      </c>
      <c r="J20" s="3">
        <f>v_disc^(D20+0.5)</f>
      </c>
      <c r="K20" s="2">
        <f>MIN(1,((F20+G20)-((F20*G20)/2)))</f>
      </c>
      <c r="L20" s="2">
        <f>(L19*(1-K19))</f>
      </c>
      <c r="M20" s="2">
        <f>(1-((1-G20)*(1-H20)))</f>
      </c>
      <c r="N20" s="2">
        <f>MIN(1,((F20+M20)-((F20*M20)/2)))</f>
      </c>
      <c r="O20" s="2">
        <f>(O19*(1-N19))</f>
      </c>
      <c r="P20" s="2">
        <f>(L20*K20)</f>
      </c>
      <c r="Q20" s="2">
        <f>(L20*I20)</f>
      </c>
      <c r="R20" s="2">
        <f>(O20*I20)</f>
      </c>
      <c r="S20" s="2">
        <f>SUM(Q20:Q74)</f>
      </c>
      <c r="T20" s="2">
        <f>SUM(R20:R74)</f>
      </c>
      <c r="U20" s="2">
        <f>1</f>
      </c>
      <c r="V20" s="2">
        <f>((L20*K20)*J20)</f>
      </c>
      <c r="W20" s="2">
        <f>SUMPRODUCT(U20:U73,V20:V73)</f>
      </c>
      <c r="X20" s="2">
        <f>IF(Q20=0,0,((W20+(betaPrime*(S23-S74)))-(($BB$18*(T20-T23))*(D20&lt;=$BB$4)))/Q20)</f>
      </c>
      <c r="Y20" s="4">
        <f>ROUND((X20*100000),0)</f>
      </c>
      <c r="Z20" s="2">
        <f>(($BB$19*MAX((MIN($BB$4,7)-D20),0))/MIN($BB$4,7))</f>
      </c>
      <c r="AA20" s="2">
        <f>MAX((X20-Z20),0)</f>
      </c>
      <c r="AB20" s="2">
        <f>AA20</f>
      </c>
      <c r="AC20" s="2">
        <f>((MIN(D20,$BB$4)*k_freq)*$BB$14)</f>
      </c>
      <c r="AD20" s="2">
        <f>IF(AC20=0,0,AB20/AC20)</f>
      </c>
      <c r="AF20" s="2">
        <f>MIN(1,((F20+H20)-((F20*H20)/2)))</f>
      </c>
      <c r="AG20" s="2">
        <f>(AG19*(1-AF19))</f>
      </c>
      <c r="AH20" s="2">
        <f>(1-((1-H20)*(1-G20)))</f>
      </c>
      <c r="AI20" s="2">
        <f>MIN(1,((F20+AH20)-((F20*AH20)/2)))</f>
      </c>
      <c r="AJ20" s="2">
        <f>(AJ19*(1-AI19))</f>
      </c>
      <c r="AK20" s="2">
        <f>(AG20*H20)</f>
      </c>
      <c r="AL20" s="2">
        <f>(AG20*I20)</f>
      </c>
      <c r="AM20" s="2">
        <f>(AJ20*I20)</f>
      </c>
      <c r="AN20" s="2">
        <f>SUM(AL20:AL63)</f>
      </c>
      <c r="AO20" s="2">
        <f>SUM(AM20:AM63)</f>
      </c>
      <c r="AP20" s="2">
        <f>(1*IF((D20=0),(1-(3/12)),1))</f>
      </c>
      <c r="AQ20" s="2">
        <f>((AG20*H20)*J20)</f>
      </c>
      <c r="AR20" s="2">
        <f>SUMPRODUCT(AP20:AP62,AQ20:AQ62)</f>
      </c>
      <c r="AS20" s="2">
        <f>IF(AL20=0,0,((AR20+(betaPrime*(AN23-AN63)))-(($BC$18*(AO20-AO23))*(D20&lt;=$BC$4)))/AL20)</f>
      </c>
      <c r="AT20" s="4">
        <f>ROUND((AS20*100000),0)</f>
      </c>
      <c r="AU20" s="2">
        <f>(($BC$19*MAX((MIN($BC$4,7)-D20),0))/MIN($BC$4,7))</f>
      </c>
      <c r="AV20" s="2">
        <f>MAX((AS20-AU20),0)</f>
      </c>
      <c r="AW20" s="2">
        <f>AV20</f>
      </c>
      <c r="AX20" s="2">
        <f>((MIN(D20,$BC$4)*k_freq)*$BC$14)</f>
      </c>
      <c r="AY20" s="2">
        <f>IF(AX20=0,0,AW20/AX20)</f>
      </c>
    </row>
    <row r="21">
      <c r="D21" s="1">
        <v>18</v>
      </c>
      <c r="E21" s="1">
        <f>x_age+D21</f>
      </c>
      <c r="F21" s="3">
        <v>0.00514</v>
      </c>
      <c r="G21" s="3">
        <v>0.000402</v>
      </c>
      <c r="H21" s="3">
        <v>0.007483</v>
      </c>
      <c r="I21" s="3">
        <f>v_disc^(D21)</f>
      </c>
      <c r="J21" s="3">
        <f>v_disc^(D21+0.5)</f>
      </c>
      <c r="K21" s="2">
        <f>MIN(1,((F21+G21)-((F21*G21)/2)))</f>
      </c>
      <c r="L21" s="2">
        <f>(L20*(1-K20))</f>
      </c>
      <c r="M21" s="2">
        <f>(1-((1-G21)*(1-H21)))</f>
      </c>
      <c r="N21" s="2">
        <f>MIN(1,((F21+M21)-((F21*M21)/2)))</f>
      </c>
      <c r="O21" s="2">
        <f>(O20*(1-N20))</f>
      </c>
      <c r="P21" s="2">
        <f>(L21*K21)</f>
      </c>
      <c r="Q21" s="2">
        <f>(L21*I21)</f>
      </c>
      <c r="R21" s="2">
        <f>(O21*I21)</f>
      </c>
      <c r="S21" s="2">
        <f>SUM(Q21:Q74)</f>
      </c>
      <c r="T21" s="2">
        <f>SUM(R21:R74)</f>
      </c>
      <c r="U21" s="2">
        <f>1</f>
      </c>
      <c r="V21" s="2">
        <f>((L21*K21)*J21)</f>
      </c>
      <c r="W21" s="2">
        <f>SUMPRODUCT(U21:U73,V21:V73)</f>
      </c>
      <c r="X21" s="2">
        <f>IF(Q21=0,0,((W21+(betaPrime*(S23-S74)))-(($BB$18*(T21-T23))*(D21&lt;=$BB$4)))/Q21)</f>
      </c>
      <c r="Y21" s="4">
        <f>ROUND((X21*100000),0)</f>
      </c>
      <c r="Z21" s="2">
        <f>(($BB$19*MAX((MIN($BB$4,7)-D21),0))/MIN($BB$4,7))</f>
      </c>
      <c r="AA21" s="2">
        <f>MAX((X21-Z21),0)</f>
      </c>
      <c r="AB21" s="2">
        <f>AA21</f>
      </c>
      <c r="AC21" s="2">
        <f>((MIN(D21,$BB$4)*k_freq)*$BB$14)</f>
      </c>
      <c r="AD21" s="2">
        <f>IF(AC21=0,0,AB21/AC21)</f>
      </c>
      <c r="AF21" s="2">
        <f>MIN(1,((F21+H21)-((F21*H21)/2)))</f>
      </c>
      <c r="AG21" s="2">
        <f>(AG20*(1-AF20))</f>
      </c>
      <c r="AH21" s="2">
        <f>(1-((1-H21)*(1-G21)))</f>
      </c>
      <c r="AI21" s="2">
        <f>MIN(1,((F21+AH21)-((F21*AH21)/2)))</f>
      </c>
      <c r="AJ21" s="2">
        <f>(AJ20*(1-AI20))</f>
      </c>
      <c r="AK21" s="2">
        <f>(AG21*H21)</f>
      </c>
      <c r="AL21" s="2">
        <f>(AG21*I21)</f>
      </c>
      <c r="AM21" s="2">
        <f>(AJ21*I21)</f>
      </c>
      <c r="AN21" s="2">
        <f>SUM(AL21:AL63)</f>
      </c>
      <c r="AO21" s="2">
        <f>SUM(AM21:AM63)</f>
      </c>
      <c r="AP21" s="2">
        <f>(1*IF((D21=0),(1-(3/12)),1))</f>
      </c>
      <c r="AQ21" s="2">
        <f>((AG21*H21)*J21)</f>
      </c>
      <c r="AR21" s="2">
        <f>SUMPRODUCT(AP21:AP62,AQ21:AQ62)</f>
      </c>
      <c r="AS21" s="2">
        <f>IF(AL21=0,0,((AR21+(betaPrime*(AN23-AN63)))-(($BC$18*(AO21-AO23))*(D21&lt;=$BC$4)))/AL21)</f>
      </c>
      <c r="AT21" s="4">
        <f>ROUND((AS21*100000),0)</f>
      </c>
      <c r="AU21" s="2">
        <f>(($BC$19*MAX((MIN($BC$4,7)-D21),0))/MIN($BC$4,7))</f>
      </c>
      <c r="AV21" s="2">
        <f>MAX((AS21-AU21),0)</f>
      </c>
      <c r="AW21" s="2">
        <f>AV21</f>
      </c>
      <c r="AX21" s="2">
        <f>((MIN(D21,$BC$4)*k_freq)*$BC$14)</f>
      </c>
      <c r="AY21" s="2">
        <f>IF(AX21=0,0,AW21/AX21)</f>
      </c>
      <c r="BA21" t="inlineStr">
        <is>
          <t xml:space="preserve">담보 보험료의 합이 이 단위의 보험료입니다. 10만원당 보험료는 담보마다 원 단위로 반올림한 뒤 더합니다.</t>
        </is>
      </c>
    </row>
    <row r="22">
      <c r="D22" s="1">
        <v>19</v>
      </c>
      <c r="E22" s="1">
        <f>x_age+D22</f>
      </c>
      <c r="F22" s="3">
        <v>0.00571</v>
      </c>
      <c r="G22" s="3">
        <v>0.000417</v>
      </c>
      <c r="H22" s="3">
        <v>0.008181</v>
      </c>
      <c r="I22" s="3">
        <f>v_disc^(D22)</f>
      </c>
      <c r="J22" s="3">
        <f>v_disc^(D22+0.5)</f>
      </c>
      <c r="K22" s="2">
        <f>MIN(1,((F22+G22)-((F22*G22)/2)))</f>
      </c>
      <c r="L22" s="2">
        <f>(L21*(1-K21))</f>
      </c>
      <c r="M22" s="2">
        <f>(1-((1-G22)*(1-H22)))</f>
      </c>
      <c r="N22" s="2">
        <f>MIN(1,((F22+M22)-((F22*M22)/2)))</f>
      </c>
      <c r="O22" s="2">
        <f>(O21*(1-N21))</f>
      </c>
      <c r="P22" s="2">
        <f>(L22*K22)</f>
      </c>
      <c r="Q22" s="2">
        <f>(L22*I22)</f>
      </c>
      <c r="R22" s="2">
        <f>(O22*I22)</f>
      </c>
      <c r="S22" s="2">
        <f>SUM(Q22:Q74)</f>
      </c>
      <c r="T22" s="2">
        <f>SUM(R22:R74)</f>
      </c>
      <c r="U22" s="2">
        <f>1</f>
      </c>
      <c r="V22" s="2">
        <f>((L22*K22)*J22)</f>
      </c>
      <c r="W22" s="2">
        <f>SUMPRODUCT(U22:U73,V22:V73)</f>
      </c>
      <c r="X22" s="2">
        <f>IF(Q22=0,0,((W22+(betaPrime*(S23-S74)))-(($BB$18*(T22-T23))*(D22&lt;=$BB$4)))/Q22)</f>
      </c>
      <c r="Y22" s="4">
        <f>ROUND((X22*100000),0)</f>
      </c>
      <c r="Z22" s="2">
        <f>(($BB$19*MAX((MIN($BB$4,7)-D22),0))/MIN($BB$4,7))</f>
      </c>
      <c r="AA22" s="2">
        <f>MAX((X22-Z22),0)</f>
      </c>
      <c r="AB22" s="2">
        <f>AA22</f>
      </c>
      <c r="AC22" s="2">
        <f>((MIN(D22,$BB$4)*k_freq)*$BB$14)</f>
      </c>
      <c r="AD22" s="2">
        <f>IF(AC22=0,0,AB22/AC22)</f>
      </c>
      <c r="AF22" s="2">
        <f>MIN(1,((F22+H22)-((F22*H22)/2)))</f>
      </c>
      <c r="AG22" s="2">
        <f>(AG21*(1-AF21))</f>
      </c>
      <c r="AH22" s="2">
        <f>(1-((1-H22)*(1-G22)))</f>
      </c>
      <c r="AI22" s="2">
        <f>MIN(1,((F22+AH22)-((F22*AH22)/2)))</f>
      </c>
      <c r="AJ22" s="2">
        <f>(AJ21*(1-AI21))</f>
      </c>
      <c r="AK22" s="2">
        <f>(AG22*H22)</f>
      </c>
      <c r="AL22" s="2">
        <f>(AG22*I22)</f>
      </c>
      <c r="AM22" s="2">
        <f>(AJ22*I22)</f>
      </c>
      <c r="AN22" s="2">
        <f>SUM(AL22:AL63)</f>
      </c>
      <c r="AO22" s="2">
        <f>SUM(AM22:AM63)</f>
      </c>
      <c r="AP22" s="2">
        <f>(1*IF((D22=0),(1-(3/12)),1))</f>
      </c>
      <c r="AQ22" s="2">
        <f>((AG22*H22)*J22)</f>
      </c>
      <c r="AR22" s="2">
        <f>SUMPRODUCT(AP22:AP62,AQ22:AQ62)</f>
      </c>
      <c r="AS22" s="2">
        <f>IF(AL22=0,0,((AR22+(betaPrime*(AN23-AN63)))-(($BC$18*(AO22-AO23))*(D22&lt;=$BC$4)))/AL22)</f>
      </c>
      <c r="AT22" s="4">
        <f>ROUND((AS22*100000),0)</f>
      </c>
      <c r="AU22" s="2">
        <f>(($BC$19*MAX((MIN($BC$4,7)-D22),0))/MIN($BC$4,7))</f>
      </c>
      <c r="AV22" s="2">
        <f>MAX((AS22-AU22),0)</f>
      </c>
      <c r="AW22" s="2">
        <f>AV22</f>
      </c>
      <c r="AX22" s="2">
        <f>((MIN(D22,$BC$4)*k_freq)*$BC$14)</f>
      </c>
      <c r="AY22" s="2">
        <f>IF(AX22=0,0,AW22/AX22)</f>
      </c>
    </row>
    <row r="23">
      <c r="D23" s="1">
        <v>20</v>
      </c>
      <c r="E23" s="1">
        <f>x_age+D23</f>
      </c>
      <c r="F23" s="3">
        <v>0.00633</v>
      </c>
      <c r="G23" s="3">
        <v>0.000517</v>
      </c>
      <c r="H23" s="3">
        <v>0.00893</v>
      </c>
      <c r="I23" s="3">
        <f>v_disc^(D23)</f>
      </c>
      <c r="J23" s="3">
        <f>v_disc^(D23+0.5)</f>
      </c>
      <c r="K23" s="2">
        <f>MIN(1,((F23+G23)-((F23*G23)/2)))</f>
      </c>
      <c r="L23" s="2">
        <f>(L22*(1-K22))</f>
      </c>
      <c r="M23" s="2">
        <f>(1-((1-G23)*(1-H23)))</f>
      </c>
      <c r="N23" s="2">
        <f>MIN(1,((F23+M23)-((F23*M23)/2)))</f>
      </c>
      <c r="O23" s="2">
        <f>(O22*(1-N22))</f>
      </c>
      <c r="P23" s="2">
        <f>(L23*K23)</f>
      </c>
      <c r="Q23" s="2">
        <f>(L23*I23)</f>
      </c>
      <c r="R23" s="2">
        <f>(O23*I23)</f>
      </c>
      <c r="S23" s="2">
        <f>SUM(Q23:Q74)</f>
      </c>
      <c r="T23" s="2">
        <f>SUM(R23:R74)</f>
      </c>
      <c r="U23" s="2">
        <f>1</f>
      </c>
      <c r="V23" s="2">
        <f>((L23*K23)*J23)</f>
      </c>
      <c r="W23" s="2">
        <f>SUMPRODUCT(U23:U73,V23:V73)</f>
      </c>
      <c r="X23" s="2">
        <f>IF(Q23=0,0,((W23+(betaPrime*(S23-S74)))-(($BB$18*(T23-T23))*(D23&lt;=$BB$4)))/Q23)</f>
      </c>
      <c r="Y23" s="4">
        <f>ROUND((X23*100000),0)</f>
      </c>
      <c r="Z23" s="2">
        <f>(($BB$19*MAX((MIN($BB$4,7)-D23),0))/MIN($BB$4,7))</f>
      </c>
      <c r="AA23" s="2">
        <f>MAX((X23-Z23),0)</f>
      </c>
      <c r="AB23" s="2">
        <f>AA23</f>
      </c>
      <c r="AC23" s="2">
        <f>((MIN(D23,$BB$4)*k_freq)*$BB$14)</f>
      </c>
      <c r="AD23" s="2">
        <f>IF(AC23=0,0,AB23/AC23)</f>
      </c>
      <c r="AF23" s="2">
        <f>MIN(1,((F23+H23)-((F23*H23)/2)))</f>
      </c>
      <c r="AG23" s="2">
        <f>(AG22*(1-AF22))</f>
      </c>
      <c r="AH23" s="2">
        <f>(1-((1-H23)*(1-G23)))</f>
      </c>
      <c r="AI23" s="2">
        <f>MIN(1,((F23+AH23)-((F23*AH23)/2)))</f>
      </c>
      <c r="AJ23" s="2">
        <f>(AJ22*(1-AI22))</f>
      </c>
      <c r="AK23" s="2">
        <f>(AG23*H23)</f>
      </c>
      <c r="AL23" s="2">
        <f>(AG23*I23)</f>
      </c>
      <c r="AM23" s="2">
        <f>(AJ23*I23)</f>
      </c>
      <c r="AN23" s="2">
        <f>SUM(AL23:AL63)</f>
      </c>
      <c r="AO23" s="2">
        <f>SUM(AM23:AM63)</f>
      </c>
      <c r="AP23" s="2">
        <f>(1*IF((D23=0),(1-(3/12)),1))</f>
      </c>
      <c r="AQ23" s="2">
        <f>((AG23*H23)*J23)</f>
      </c>
      <c r="AR23" s="2">
        <f>SUMPRODUCT(AP23:AP62,AQ23:AQ62)</f>
      </c>
      <c r="AS23" s="2">
        <f>IF(AL23=0,0,((AR23+(betaPrime*(AN23-AN63)))-(($BC$18*(AO23-AO23))*(D23&lt;=$BC$4)))/AL23)</f>
      </c>
      <c r="AT23" s="4">
        <f>ROUND((AS23*100000),0)</f>
      </c>
      <c r="AU23" s="2">
        <f>(($BC$19*MAX((MIN($BC$4,7)-D23),0))/MIN($BC$4,7))</f>
      </c>
      <c r="AV23" s="2">
        <f>MAX((AS23-AU23),0)</f>
      </c>
      <c r="AW23" s="2">
        <f>AV23</f>
      </c>
      <c r="AX23" s="2">
        <f>((MIN(D23,$BC$4)*k_freq)*$BC$14)</f>
      </c>
      <c r="AY23" s="2">
        <f>IF(AX23=0,0,AW23/AX23)</f>
      </c>
    </row>
    <row r="24">
      <c r="D24" s="1">
        <v>21</v>
      </c>
      <c r="E24" s="1">
        <f>x_age+D24</f>
      </c>
      <c r="F24" s="3">
        <v>0.007</v>
      </c>
      <c r="G24" s="3">
        <v>0.000531</v>
      </c>
      <c r="H24" s="3">
        <v>0.009724</v>
      </c>
      <c r="I24" s="3">
        <f>v_disc^(D24)</f>
      </c>
      <c r="J24" s="3">
        <f>v_disc^(D24+0.5)</f>
      </c>
      <c r="K24" s="2">
        <f>MIN(1,((F24+G24)-((F24*G24)/2)))</f>
      </c>
      <c r="L24" s="2">
        <f>(L23*(1-K23))</f>
      </c>
      <c r="M24" s="2">
        <f>(1-((1-G24)*(1-H24)))</f>
      </c>
      <c r="N24" s="2">
        <f>MIN(1,((F24+M24)-((F24*M24)/2)))</f>
      </c>
      <c r="O24" s="2">
        <f>(O23*(1-N23))</f>
      </c>
      <c r="P24" s="2">
        <f>(L24*K24)</f>
      </c>
      <c r="Q24" s="2">
        <f>(L24*I24)</f>
      </c>
      <c r="R24" s="2">
        <f>(O24*I24)</f>
      </c>
      <c r="S24" s="2">
        <f>SUM(Q24:Q74)</f>
      </c>
      <c r="T24" s="2">
        <f>SUM(R24:R74)</f>
      </c>
      <c r="U24" s="2">
        <f>1</f>
      </c>
      <c r="V24" s="2">
        <f>((L24*K24)*J24)</f>
      </c>
      <c r="W24" s="2">
        <f>SUMPRODUCT(U24:U73,V24:V73)</f>
      </c>
      <c r="X24" s="2">
        <f>IF(Q24=0,0,((W24+(betaPrime*(S24-S74)))-(($BB$18*(T24-T23))*(D24&lt;=$BB$4)))/Q24)</f>
      </c>
      <c r="Y24" s="4">
        <f>ROUND((X24*100000),0)</f>
      </c>
      <c r="Z24" s="2">
        <f>(($BB$19*MAX((MIN($BB$4,7)-D24),0))/MIN($BB$4,7))</f>
      </c>
      <c r="AA24" s="2">
        <f>MAX((X24-Z24),0)</f>
      </c>
      <c r="AB24" s="2">
        <f>AA24</f>
      </c>
      <c r="AC24" s="2">
        <f>((MIN(D24,$BB$4)*k_freq)*$BB$14)</f>
      </c>
      <c r="AD24" s="2">
        <f>IF(AC24=0,0,AB24/AC24)</f>
      </c>
      <c r="AF24" s="2">
        <f>MIN(1,((F24+H24)-((F24*H24)/2)))</f>
      </c>
      <c r="AG24" s="2">
        <f>(AG23*(1-AF23))</f>
      </c>
      <c r="AH24" s="2">
        <f>(1-((1-H24)*(1-G24)))</f>
      </c>
      <c r="AI24" s="2">
        <f>MIN(1,((F24+AH24)-((F24*AH24)/2)))</f>
      </c>
      <c r="AJ24" s="2">
        <f>(AJ23*(1-AI23))</f>
      </c>
      <c r="AK24" s="2">
        <f>(AG24*H24)</f>
      </c>
      <c r="AL24" s="2">
        <f>(AG24*I24)</f>
      </c>
      <c r="AM24" s="2">
        <f>(AJ24*I24)</f>
      </c>
      <c r="AN24" s="2">
        <f>SUM(AL24:AL63)</f>
      </c>
      <c r="AO24" s="2">
        <f>SUM(AM24:AM63)</f>
      </c>
      <c r="AP24" s="2">
        <f>(1*IF((D24=0),(1-(3/12)),1))</f>
      </c>
      <c r="AQ24" s="2">
        <f>((AG24*H24)*J24)</f>
      </c>
      <c r="AR24" s="2">
        <f>SUMPRODUCT(AP24:AP62,AQ24:AQ62)</f>
      </c>
      <c r="AS24" s="2">
        <f>IF(AL24=0,0,((AR24+(betaPrime*(AN24-AN63)))-(($BC$18*(AO24-AO23))*(D24&lt;=$BC$4)))/AL24)</f>
      </c>
      <c r="AT24" s="4">
        <f>ROUND((AS24*100000),0)</f>
      </c>
      <c r="AU24" s="2">
        <f>(($BC$19*MAX((MIN($BC$4,7)-D24),0))/MIN($BC$4,7))</f>
      </c>
      <c r="AV24" s="2">
        <f>MAX((AS24-AU24),0)</f>
      </c>
      <c r="AW24" s="2">
        <f>AV24</f>
      </c>
      <c r="AX24" s="2">
        <f>((MIN(D24,$BC$4)*k_freq)*$BC$14)</f>
      </c>
      <c r="AY24" s="2">
        <f>IF(AX24=0,0,AW24/AX24)</f>
      </c>
    </row>
    <row r="25">
      <c r="D25" s="1">
        <v>22</v>
      </c>
      <c r="E25" s="1">
        <f>x_age+D25</f>
      </c>
      <c r="F25" s="3">
        <v>0.00772</v>
      </c>
      <c r="G25" s="3">
        <v>0.000544</v>
      </c>
      <c r="H25" s="3">
        <v>0.01057</v>
      </c>
      <c r="I25" s="3">
        <f>v_disc^(D25)</f>
      </c>
      <c r="J25" s="3">
        <f>v_disc^(D25+0.5)</f>
      </c>
      <c r="K25" s="2">
        <f>MIN(1,((F25+G25)-((F25*G25)/2)))</f>
      </c>
      <c r="L25" s="2">
        <f>(L24*(1-K24))</f>
      </c>
      <c r="M25" s="2">
        <f>(1-((1-G25)*(1-H25)))</f>
      </c>
      <c r="N25" s="2">
        <f>MIN(1,((F25+M25)-((F25*M25)/2)))</f>
      </c>
      <c r="O25" s="2">
        <f>(O24*(1-N24))</f>
      </c>
      <c r="P25" s="2">
        <f>(L25*K25)</f>
      </c>
      <c r="Q25" s="2">
        <f>(L25*I25)</f>
      </c>
      <c r="R25" s="2">
        <f>(O25*I25)</f>
      </c>
      <c r="S25" s="2">
        <f>SUM(Q25:Q74)</f>
      </c>
      <c r="T25" s="2">
        <f>SUM(R25:R74)</f>
      </c>
      <c r="U25" s="2">
        <f>1</f>
      </c>
      <c r="V25" s="2">
        <f>((L25*K25)*J25)</f>
      </c>
      <c r="W25" s="2">
        <f>SUMPRODUCT(U25:U73,V25:V73)</f>
      </c>
      <c r="X25" s="2">
        <f>IF(Q25=0,0,((W25+(betaPrime*(S25-S74)))-(($BB$18*(T25-T23))*(D25&lt;=$BB$4)))/Q25)</f>
      </c>
      <c r="Y25" s="4">
        <f>ROUND((X25*100000),0)</f>
      </c>
      <c r="Z25" s="2">
        <f>(($BB$19*MAX((MIN($BB$4,7)-D25),0))/MIN($BB$4,7))</f>
      </c>
      <c r="AA25" s="2">
        <f>MAX((X25-Z25),0)</f>
      </c>
      <c r="AB25" s="2">
        <f>AA25</f>
      </c>
      <c r="AC25" s="2">
        <f>((MIN(D25,$BB$4)*k_freq)*$BB$14)</f>
      </c>
      <c r="AD25" s="2">
        <f>IF(AC25=0,0,AB25/AC25)</f>
      </c>
      <c r="AF25" s="2">
        <f>MIN(1,((F25+H25)-((F25*H25)/2)))</f>
      </c>
      <c r="AG25" s="2">
        <f>(AG24*(1-AF24))</f>
      </c>
      <c r="AH25" s="2">
        <f>(1-((1-H25)*(1-G25)))</f>
      </c>
      <c r="AI25" s="2">
        <f>MIN(1,((F25+AH25)-((F25*AH25)/2)))</f>
      </c>
      <c r="AJ25" s="2">
        <f>(AJ24*(1-AI24))</f>
      </c>
      <c r="AK25" s="2">
        <f>(AG25*H25)</f>
      </c>
      <c r="AL25" s="2">
        <f>(AG25*I25)</f>
      </c>
      <c r="AM25" s="2">
        <f>(AJ25*I25)</f>
      </c>
      <c r="AN25" s="2">
        <f>SUM(AL25:AL63)</f>
      </c>
      <c r="AO25" s="2">
        <f>SUM(AM25:AM63)</f>
      </c>
      <c r="AP25" s="2">
        <f>(1*IF((D25=0),(1-(3/12)),1))</f>
      </c>
      <c r="AQ25" s="2">
        <f>((AG25*H25)*J25)</f>
      </c>
      <c r="AR25" s="2">
        <f>SUMPRODUCT(AP25:AP62,AQ25:AQ62)</f>
      </c>
      <c r="AS25" s="2">
        <f>IF(AL25=0,0,((AR25+(betaPrime*(AN25-AN63)))-(($BC$18*(AO25-AO23))*(D25&lt;=$BC$4)))/AL25)</f>
      </c>
      <c r="AT25" s="4">
        <f>ROUND((AS25*100000),0)</f>
      </c>
      <c r="AU25" s="2">
        <f>(($BC$19*MAX((MIN($BC$4,7)-D25),0))/MIN($BC$4,7))</f>
      </c>
      <c r="AV25" s="2">
        <f>MAX((AS25-AU25),0)</f>
      </c>
      <c r="AW25" s="2">
        <f>AV25</f>
      </c>
      <c r="AX25" s="2">
        <f>((MIN(D25,$BC$4)*k_freq)*$BC$14)</f>
      </c>
      <c r="AY25" s="2">
        <f>IF(AX25=0,0,AW25/AX25)</f>
      </c>
    </row>
    <row r="26">
      <c r="D26" s="1">
        <v>23</v>
      </c>
      <c r="E26" s="1">
        <f>x_age+D26</f>
      </c>
      <c r="F26" s="3">
        <v>0.00848</v>
      </c>
      <c r="G26" s="3">
        <v>0.000562</v>
      </c>
      <c r="H26" s="3">
        <v>0.011465</v>
      </c>
      <c r="I26" s="3">
        <f>v_disc^(D26)</f>
      </c>
      <c r="J26" s="3">
        <f>v_disc^(D26+0.5)</f>
      </c>
      <c r="K26" s="2">
        <f>MIN(1,((F26+G26)-((F26*G26)/2)))</f>
      </c>
      <c r="L26" s="2">
        <f>(L25*(1-K25))</f>
      </c>
      <c r="M26" s="2">
        <f>(1-((1-G26)*(1-H26)))</f>
      </c>
      <c r="N26" s="2">
        <f>MIN(1,((F26+M26)-((F26*M26)/2)))</f>
      </c>
      <c r="O26" s="2">
        <f>(O25*(1-N25))</f>
      </c>
      <c r="P26" s="2">
        <f>(L26*K26)</f>
      </c>
      <c r="Q26" s="2">
        <f>(L26*I26)</f>
      </c>
      <c r="R26" s="2">
        <f>(O26*I26)</f>
      </c>
      <c r="S26" s="2">
        <f>SUM(Q26:Q74)</f>
      </c>
      <c r="T26" s="2">
        <f>SUM(R26:R74)</f>
      </c>
      <c r="U26" s="2">
        <f>1</f>
      </c>
      <c r="V26" s="2">
        <f>((L26*K26)*J26)</f>
      </c>
      <c r="W26" s="2">
        <f>SUMPRODUCT(U26:U73,V26:V73)</f>
      </c>
      <c r="X26" s="2">
        <f>IF(Q26=0,0,((W26+(betaPrime*(S26-S74)))-(($BB$18*(T26-T23))*(D26&lt;=$BB$4)))/Q26)</f>
      </c>
      <c r="Y26" s="4">
        <f>ROUND((X26*100000),0)</f>
      </c>
      <c r="Z26" s="2">
        <f>(($BB$19*MAX((MIN($BB$4,7)-D26),0))/MIN($BB$4,7))</f>
      </c>
      <c r="AA26" s="2">
        <f>MAX((X26-Z26),0)</f>
      </c>
      <c r="AB26" s="2">
        <f>AA26</f>
      </c>
      <c r="AC26" s="2">
        <f>((MIN(D26,$BB$4)*k_freq)*$BB$14)</f>
      </c>
      <c r="AD26" s="2">
        <f>IF(AC26=0,0,AB26/AC26)</f>
      </c>
      <c r="AF26" s="2">
        <f>MIN(1,((F26+H26)-((F26*H26)/2)))</f>
      </c>
      <c r="AG26" s="2">
        <f>(AG25*(1-AF25))</f>
      </c>
      <c r="AH26" s="2">
        <f>(1-((1-H26)*(1-G26)))</f>
      </c>
      <c r="AI26" s="2">
        <f>MIN(1,((F26+AH26)-((F26*AH26)/2)))</f>
      </c>
      <c r="AJ26" s="2">
        <f>(AJ25*(1-AI25))</f>
      </c>
      <c r="AK26" s="2">
        <f>(AG26*H26)</f>
      </c>
      <c r="AL26" s="2">
        <f>(AG26*I26)</f>
      </c>
      <c r="AM26" s="2">
        <f>(AJ26*I26)</f>
      </c>
      <c r="AN26" s="2">
        <f>SUM(AL26:AL63)</f>
      </c>
      <c r="AO26" s="2">
        <f>SUM(AM26:AM63)</f>
      </c>
      <c r="AP26" s="2">
        <f>(1*IF((D26=0),(1-(3/12)),1))</f>
      </c>
      <c r="AQ26" s="2">
        <f>((AG26*H26)*J26)</f>
      </c>
      <c r="AR26" s="2">
        <f>SUMPRODUCT(AP26:AP62,AQ26:AQ62)</f>
      </c>
      <c r="AS26" s="2">
        <f>IF(AL26=0,0,((AR26+(betaPrime*(AN26-AN63)))-(($BC$18*(AO26-AO23))*(D26&lt;=$BC$4)))/AL26)</f>
      </c>
      <c r="AT26" s="4">
        <f>ROUND((AS26*100000),0)</f>
      </c>
      <c r="AU26" s="2">
        <f>(($BC$19*MAX((MIN($BC$4,7)-D26),0))/MIN($BC$4,7))</f>
      </c>
      <c r="AV26" s="2">
        <f>MAX((AS26-AU26),0)</f>
      </c>
      <c r="AW26" s="2">
        <f>AV26</f>
      </c>
      <c r="AX26" s="2">
        <f>((MIN(D26,$BC$4)*k_freq)*$BC$14)</f>
      </c>
      <c r="AY26" s="2">
        <f>IF(AX26=0,0,AW26/AX26)</f>
      </c>
    </row>
    <row r="27">
      <c r="D27" s="1">
        <v>24</v>
      </c>
      <c r="E27" s="1">
        <f>x_age+D27</f>
      </c>
      <c r="F27" s="3">
        <v>0.00928</v>
      </c>
      <c r="G27" s="3">
        <v>0.00059</v>
      </c>
      <c r="H27" s="3">
        <v>0.012409</v>
      </c>
      <c r="I27" s="3">
        <f>v_disc^(D27)</f>
      </c>
      <c r="J27" s="3">
        <f>v_disc^(D27+0.5)</f>
      </c>
      <c r="K27" s="2">
        <f>MIN(1,((F27+G27)-((F27*G27)/2)))</f>
      </c>
      <c r="L27" s="2">
        <f>(L26*(1-K26))</f>
      </c>
      <c r="M27" s="2">
        <f>(1-((1-G27)*(1-H27)))</f>
      </c>
      <c r="N27" s="2">
        <f>MIN(1,((F27+M27)-((F27*M27)/2)))</f>
      </c>
      <c r="O27" s="2">
        <f>(O26*(1-N26))</f>
      </c>
      <c r="P27" s="2">
        <f>(L27*K27)</f>
      </c>
      <c r="Q27" s="2">
        <f>(L27*I27)</f>
      </c>
      <c r="R27" s="2">
        <f>(O27*I27)</f>
      </c>
      <c r="S27" s="2">
        <f>SUM(Q27:Q74)</f>
      </c>
      <c r="T27" s="2">
        <f>SUM(R27:R74)</f>
      </c>
      <c r="U27" s="2">
        <f>1</f>
      </c>
      <c r="V27" s="2">
        <f>((L27*K27)*J27)</f>
      </c>
      <c r="W27" s="2">
        <f>SUMPRODUCT(U27:U73,V27:V73)</f>
      </c>
      <c r="X27" s="2">
        <f>IF(Q27=0,0,((W27+(betaPrime*(S27-S74)))-(($BB$18*(T27-T23))*(D27&lt;=$BB$4)))/Q27)</f>
      </c>
      <c r="Y27" s="4">
        <f>ROUND((X27*100000),0)</f>
      </c>
      <c r="Z27" s="2">
        <f>(($BB$19*MAX((MIN($BB$4,7)-D27),0))/MIN($BB$4,7))</f>
      </c>
      <c r="AA27" s="2">
        <f>MAX((X27-Z27),0)</f>
      </c>
      <c r="AB27" s="2">
        <f>AA27</f>
      </c>
      <c r="AC27" s="2">
        <f>((MIN(D27,$BB$4)*k_freq)*$BB$14)</f>
      </c>
      <c r="AD27" s="2">
        <f>IF(AC27=0,0,AB27/AC27)</f>
      </c>
      <c r="AF27" s="2">
        <f>MIN(1,((F27+H27)-((F27*H27)/2)))</f>
      </c>
      <c r="AG27" s="2">
        <f>(AG26*(1-AF26))</f>
      </c>
      <c r="AH27" s="2">
        <f>(1-((1-H27)*(1-G27)))</f>
      </c>
      <c r="AI27" s="2">
        <f>MIN(1,((F27+AH27)-((F27*AH27)/2)))</f>
      </c>
      <c r="AJ27" s="2">
        <f>(AJ26*(1-AI26))</f>
      </c>
      <c r="AK27" s="2">
        <f>(AG27*H27)</f>
      </c>
      <c r="AL27" s="2">
        <f>(AG27*I27)</f>
      </c>
      <c r="AM27" s="2">
        <f>(AJ27*I27)</f>
      </c>
      <c r="AN27" s="2">
        <f>SUM(AL27:AL63)</f>
      </c>
      <c r="AO27" s="2">
        <f>SUM(AM27:AM63)</f>
      </c>
      <c r="AP27" s="2">
        <f>(1*IF((D27=0),(1-(3/12)),1))</f>
      </c>
      <c r="AQ27" s="2">
        <f>((AG27*H27)*J27)</f>
      </c>
      <c r="AR27" s="2">
        <f>SUMPRODUCT(AP27:AP62,AQ27:AQ62)</f>
      </c>
      <c r="AS27" s="2">
        <f>IF(AL27=0,0,((AR27+(betaPrime*(AN27-AN63)))-(($BC$18*(AO27-AO23))*(D27&lt;=$BC$4)))/AL27)</f>
      </c>
      <c r="AT27" s="4">
        <f>ROUND((AS27*100000),0)</f>
      </c>
      <c r="AU27" s="2">
        <f>(($BC$19*MAX((MIN($BC$4,7)-D27),0))/MIN($BC$4,7))</f>
      </c>
      <c r="AV27" s="2">
        <f>MAX((AS27-AU27),0)</f>
      </c>
      <c r="AW27" s="2">
        <f>AV27</f>
      </c>
      <c r="AX27" s="2">
        <f>((MIN(D27,$BC$4)*k_freq)*$BC$14)</f>
      </c>
      <c r="AY27" s="2">
        <f>IF(AX27=0,0,AW27/AX27)</f>
      </c>
    </row>
    <row r="28">
      <c r="D28" s="1">
        <v>25</v>
      </c>
      <c r="E28" s="1">
        <f>x_age+D28</f>
      </c>
      <c r="F28" s="3">
        <v>0.01015</v>
      </c>
      <c r="G28" s="3">
        <v>0.000629</v>
      </c>
      <c r="H28" s="3">
        <v>0.013401</v>
      </c>
      <c r="I28" s="3">
        <f>v_disc^(D28)</f>
      </c>
      <c r="J28" s="3">
        <f>v_disc^(D28+0.5)</f>
      </c>
      <c r="K28" s="2">
        <f>MIN(1,((F28+G28)-((F28*G28)/2)))</f>
      </c>
      <c r="L28" s="2">
        <f>(L27*(1-K27))</f>
      </c>
      <c r="M28" s="2">
        <f>(1-((1-G28)*(1-H28)))</f>
      </c>
      <c r="N28" s="2">
        <f>MIN(1,((F28+M28)-((F28*M28)/2)))</f>
      </c>
      <c r="O28" s="2">
        <f>(O27*(1-N27))</f>
      </c>
      <c r="P28" s="2">
        <f>(L28*K28)</f>
      </c>
      <c r="Q28" s="2">
        <f>(L28*I28)</f>
      </c>
      <c r="R28" s="2">
        <f>(O28*I28)</f>
      </c>
      <c r="S28" s="2">
        <f>SUM(Q28:Q74)</f>
      </c>
      <c r="T28" s="2">
        <f>SUM(R28:R74)</f>
      </c>
      <c r="U28" s="2">
        <f>1</f>
      </c>
      <c r="V28" s="2">
        <f>((L28*K28)*J28)</f>
      </c>
      <c r="W28" s="2">
        <f>SUMPRODUCT(U28:U73,V28:V73)</f>
      </c>
      <c r="X28" s="2">
        <f>IF(Q28=0,0,((W28+(betaPrime*(S28-S74)))-(($BB$18*(T28-T23))*(D28&lt;=$BB$4)))/Q28)</f>
      </c>
      <c r="Y28" s="4">
        <f>ROUND((X28*100000),0)</f>
      </c>
      <c r="Z28" s="2">
        <f>(($BB$19*MAX((MIN($BB$4,7)-D28),0))/MIN($BB$4,7))</f>
      </c>
      <c r="AA28" s="2">
        <f>MAX((X28-Z28),0)</f>
      </c>
      <c r="AB28" s="2">
        <f>AA28</f>
      </c>
      <c r="AC28" s="2">
        <f>((MIN(D28,$BB$4)*k_freq)*$BB$14)</f>
      </c>
      <c r="AD28" s="2">
        <f>IF(AC28=0,0,AB28/AC28)</f>
      </c>
      <c r="AF28" s="2">
        <f>MIN(1,((F28+H28)-((F28*H28)/2)))</f>
      </c>
      <c r="AG28" s="2">
        <f>(AG27*(1-AF27))</f>
      </c>
      <c r="AH28" s="2">
        <f>(1-((1-H28)*(1-G28)))</f>
      </c>
      <c r="AI28" s="2">
        <f>MIN(1,((F28+AH28)-((F28*AH28)/2)))</f>
      </c>
      <c r="AJ28" s="2">
        <f>(AJ27*(1-AI27))</f>
      </c>
      <c r="AK28" s="2">
        <f>(AG28*H28)</f>
      </c>
      <c r="AL28" s="2">
        <f>(AG28*I28)</f>
      </c>
      <c r="AM28" s="2">
        <f>(AJ28*I28)</f>
      </c>
      <c r="AN28" s="2">
        <f>SUM(AL28:AL63)</f>
      </c>
      <c r="AO28" s="2">
        <f>SUM(AM28:AM63)</f>
      </c>
      <c r="AP28" s="2">
        <f>(1*IF((D28=0),(1-(3/12)),1))</f>
      </c>
      <c r="AQ28" s="2">
        <f>((AG28*H28)*J28)</f>
      </c>
      <c r="AR28" s="2">
        <f>SUMPRODUCT(AP28:AP62,AQ28:AQ62)</f>
      </c>
      <c r="AS28" s="2">
        <f>IF(AL28=0,0,((AR28+(betaPrime*(AN28-AN63)))-(($BC$18*(AO28-AO23))*(D28&lt;=$BC$4)))/AL28)</f>
      </c>
      <c r="AT28" s="4">
        <f>ROUND((AS28*100000),0)</f>
      </c>
      <c r="AU28" s="2">
        <f>(($BC$19*MAX((MIN($BC$4,7)-D28),0))/MIN($BC$4,7))</f>
      </c>
      <c r="AV28" s="2">
        <f>MAX((AS28-AU28),0)</f>
      </c>
      <c r="AW28" s="2">
        <f>AV28</f>
      </c>
      <c r="AX28" s="2">
        <f>((MIN(D28,$BC$4)*k_freq)*$BC$14)</f>
      </c>
      <c r="AY28" s="2">
        <f>IF(AX28=0,0,AW28/AX28)</f>
      </c>
    </row>
    <row r="29">
      <c r="D29" s="1">
        <v>26</v>
      </c>
      <c r="E29" s="1">
        <f>x_age+D29</f>
      </c>
      <c r="F29" s="3">
        <v>0.01116</v>
      </c>
      <c r="G29" s="3">
        <v>0.000681</v>
      </c>
      <c r="H29" s="3">
        <v>0.014453</v>
      </c>
      <c r="I29" s="3">
        <f>v_disc^(D29)</f>
      </c>
      <c r="J29" s="3">
        <f>v_disc^(D29+0.5)</f>
      </c>
      <c r="K29" s="2">
        <f>MIN(1,((F29+G29)-((F29*G29)/2)))</f>
      </c>
      <c r="L29" s="2">
        <f>(L28*(1-K28))</f>
      </c>
      <c r="M29" s="2">
        <f>(1-((1-G29)*(1-H29)))</f>
      </c>
      <c r="N29" s="2">
        <f>MIN(1,((F29+M29)-((F29*M29)/2)))</f>
      </c>
      <c r="O29" s="2">
        <f>(O28*(1-N28))</f>
      </c>
      <c r="P29" s="2">
        <f>(L29*K29)</f>
      </c>
      <c r="Q29" s="2">
        <f>(L29*I29)</f>
      </c>
      <c r="R29" s="2">
        <f>(O29*I29)</f>
      </c>
      <c r="S29" s="2">
        <f>SUM(Q29:Q74)</f>
      </c>
      <c r="T29" s="2">
        <f>SUM(R29:R74)</f>
      </c>
      <c r="U29" s="2">
        <f>1</f>
      </c>
      <c r="V29" s="2">
        <f>((L29*K29)*J29)</f>
      </c>
      <c r="W29" s="2">
        <f>SUMPRODUCT(U29:U73,V29:V73)</f>
      </c>
      <c r="X29" s="2">
        <f>IF(Q29=0,0,((W29+(betaPrime*(S29-S74)))-(($BB$18*(T29-T23))*(D29&lt;=$BB$4)))/Q29)</f>
      </c>
      <c r="Y29" s="4">
        <f>ROUND((X29*100000),0)</f>
      </c>
      <c r="Z29" s="2">
        <f>(($BB$19*MAX((MIN($BB$4,7)-D29),0))/MIN($BB$4,7))</f>
      </c>
      <c r="AA29" s="2">
        <f>MAX((X29-Z29),0)</f>
      </c>
      <c r="AB29" s="2">
        <f>AA29</f>
      </c>
      <c r="AC29" s="2">
        <f>((MIN(D29,$BB$4)*k_freq)*$BB$14)</f>
      </c>
      <c r="AD29" s="2">
        <f>IF(AC29=0,0,AB29/AC29)</f>
      </c>
      <c r="AF29" s="2">
        <f>MIN(1,((F29+H29)-((F29*H29)/2)))</f>
      </c>
      <c r="AG29" s="2">
        <f>(AG28*(1-AF28))</f>
      </c>
      <c r="AH29" s="2">
        <f>(1-((1-H29)*(1-G29)))</f>
      </c>
      <c r="AI29" s="2">
        <f>MIN(1,((F29+AH29)-((F29*AH29)/2)))</f>
      </c>
      <c r="AJ29" s="2">
        <f>(AJ28*(1-AI28))</f>
      </c>
      <c r="AK29" s="2">
        <f>(AG29*H29)</f>
      </c>
      <c r="AL29" s="2">
        <f>(AG29*I29)</f>
      </c>
      <c r="AM29" s="2">
        <f>(AJ29*I29)</f>
      </c>
      <c r="AN29" s="2">
        <f>SUM(AL29:AL63)</f>
      </c>
      <c r="AO29" s="2">
        <f>SUM(AM29:AM63)</f>
      </c>
      <c r="AP29" s="2">
        <f>(1*IF((D29=0),(1-(3/12)),1))</f>
      </c>
      <c r="AQ29" s="2">
        <f>((AG29*H29)*J29)</f>
      </c>
      <c r="AR29" s="2">
        <f>SUMPRODUCT(AP29:AP62,AQ29:AQ62)</f>
      </c>
      <c r="AS29" s="2">
        <f>IF(AL29=0,0,((AR29+(betaPrime*(AN29-AN63)))-(($BC$18*(AO29-AO23))*(D29&lt;=$BC$4)))/AL29)</f>
      </c>
      <c r="AT29" s="4">
        <f>ROUND((AS29*100000),0)</f>
      </c>
      <c r="AU29" s="2">
        <f>(($BC$19*MAX((MIN($BC$4,7)-D29),0))/MIN($BC$4,7))</f>
      </c>
      <c r="AV29" s="2">
        <f>MAX((AS29-AU29),0)</f>
      </c>
      <c r="AW29" s="2">
        <f>AV29</f>
      </c>
      <c r="AX29" s="2">
        <f>((MIN(D29,$BC$4)*k_freq)*$BC$14)</f>
      </c>
      <c r="AY29" s="2">
        <f>IF(AX29=0,0,AW29/AX29)</f>
      </c>
    </row>
    <row r="30">
      <c r="D30" s="1">
        <v>27</v>
      </c>
      <c r="E30" s="1">
        <f>x_age+D30</f>
      </c>
      <c r="F30" s="3">
        <v>0.0124</v>
      </c>
      <c r="G30" s="3">
        <v>0.00074</v>
      </c>
      <c r="H30" s="3">
        <v>0.015585</v>
      </c>
      <c r="I30" s="3">
        <f>v_disc^(D30)</f>
      </c>
      <c r="J30" s="3">
        <f>v_disc^(D30+0.5)</f>
      </c>
      <c r="K30" s="2">
        <f>MIN(1,((F30+G30)-((F30*G30)/2)))</f>
      </c>
      <c r="L30" s="2">
        <f>(L29*(1-K29))</f>
      </c>
      <c r="M30" s="2">
        <f>(1-((1-G30)*(1-H30)))</f>
      </c>
      <c r="N30" s="2">
        <f>MIN(1,((F30+M30)-((F30*M30)/2)))</f>
      </c>
      <c r="O30" s="2">
        <f>(O29*(1-N29))</f>
      </c>
      <c r="P30" s="2">
        <f>(L30*K30)</f>
      </c>
      <c r="Q30" s="2">
        <f>(L30*I30)</f>
      </c>
      <c r="R30" s="2">
        <f>(O30*I30)</f>
      </c>
      <c r="S30" s="2">
        <f>SUM(Q30:Q74)</f>
      </c>
      <c r="T30" s="2">
        <f>SUM(R30:R74)</f>
      </c>
      <c r="U30" s="2">
        <f>1</f>
      </c>
      <c r="V30" s="2">
        <f>((L30*K30)*J30)</f>
      </c>
      <c r="W30" s="2">
        <f>SUMPRODUCT(U30:U73,V30:V73)</f>
      </c>
      <c r="X30" s="2">
        <f>IF(Q30=0,0,((W30+(betaPrime*(S30-S74)))-(($BB$18*(T30-T23))*(D30&lt;=$BB$4)))/Q30)</f>
      </c>
      <c r="Y30" s="4">
        <f>ROUND((X30*100000),0)</f>
      </c>
      <c r="Z30" s="2">
        <f>(($BB$19*MAX((MIN($BB$4,7)-D30),0))/MIN($BB$4,7))</f>
      </c>
      <c r="AA30" s="2">
        <f>MAX((X30-Z30),0)</f>
      </c>
      <c r="AB30" s="2">
        <f>AA30</f>
      </c>
      <c r="AC30" s="2">
        <f>((MIN(D30,$BB$4)*k_freq)*$BB$14)</f>
      </c>
      <c r="AD30" s="2">
        <f>IF(AC30=0,0,AB30/AC30)</f>
      </c>
      <c r="AF30" s="2">
        <f>MIN(1,((F30+H30)-((F30*H30)/2)))</f>
      </c>
      <c r="AG30" s="2">
        <f>(AG29*(1-AF29))</f>
      </c>
      <c r="AH30" s="2">
        <f>(1-((1-H30)*(1-G30)))</f>
      </c>
      <c r="AI30" s="2">
        <f>MIN(1,((F30+AH30)-((F30*AH30)/2)))</f>
      </c>
      <c r="AJ30" s="2">
        <f>(AJ29*(1-AI29))</f>
      </c>
      <c r="AK30" s="2">
        <f>(AG30*H30)</f>
      </c>
      <c r="AL30" s="2">
        <f>(AG30*I30)</f>
      </c>
      <c r="AM30" s="2">
        <f>(AJ30*I30)</f>
      </c>
      <c r="AN30" s="2">
        <f>SUM(AL30:AL63)</f>
      </c>
      <c r="AO30" s="2">
        <f>SUM(AM30:AM63)</f>
      </c>
      <c r="AP30" s="2">
        <f>(1*IF((D30=0),(1-(3/12)),1))</f>
      </c>
      <c r="AQ30" s="2">
        <f>((AG30*H30)*J30)</f>
      </c>
      <c r="AR30" s="2">
        <f>SUMPRODUCT(AP30:AP62,AQ30:AQ62)</f>
      </c>
      <c r="AS30" s="2">
        <f>IF(AL30=0,0,((AR30+(betaPrime*(AN30-AN63)))-(($BC$18*(AO30-AO23))*(D30&lt;=$BC$4)))/AL30)</f>
      </c>
      <c r="AT30" s="4">
        <f>ROUND((AS30*100000),0)</f>
      </c>
      <c r="AU30" s="2">
        <f>(($BC$19*MAX((MIN($BC$4,7)-D30),0))/MIN($BC$4,7))</f>
      </c>
      <c r="AV30" s="2">
        <f>MAX((AS30-AU30),0)</f>
      </c>
      <c r="AW30" s="2">
        <f>AV30</f>
      </c>
      <c r="AX30" s="2">
        <f>((MIN(D30,$BC$4)*k_freq)*$BC$14)</f>
      </c>
      <c r="AY30" s="2">
        <f>IF(AX30=0,0,AW30/AX30)</f>
      </c>
    </row>
    <row r="31">
      <c r="D31" s="1">
        <v>28</v>
      </c>
      <c r="E31" s="1">
        <f>x_age+D31</f>
      </c>
      <c r="F31" s="3">
        <v>0.01391</v>
      </c>
      <c r="G31" s="3">
        <v>0.000805</v>
      </c>
      <c r="H31" s="3">
        <v>0.016808</v>
      </c>
      <c r="I31" s="3">
        <f>v_disc^(D31)</f>
      </c>
      <c r="J31" s="3">
        <f>v_disc^(D31+0.5)</f>
      </c>
      <c r="K31" s="2">
        <f>MIN(1,((F31+G31)-((F31*G31)/2)))</f>
      </c>
      <c r="L31" s="2">
        <f>(L30*(1-K30))</f>
      </c>
      <c r="M31" s="2">
        <f>(1-((1-G31)*(1-H31)))</f>
      </c>
      <c r="N31" s="2">
        <f>MIN(1,((F31+M31)-((F31*M31)/2)))</f>
      </c>
      <c r="O31" s="2">
        <f>(O30*(1-N30))</f>
      </c>
      <c r="P31" s="2">
        <f>(L31*K31)</f>
      </c>
      <c r="Q31" s="2">
        <f>(L31*I31)</f>
      </c>
      <c r="R31" s="2">
        <f>(O31*I31)</f>
      </c>
      <c r="S31" s="2">
        <f>SUM(Q31:Q74)</f>
      </c>
      <c r="T31" s="2">
        <f>SUM(R31:R74)</f>
      </c>
      <c r="U31" s="2">
        <f>1</f>
      </c>
      <c r="V31" s="2">
        <f>((L31*K31)*J31)</f>
      </c>
      <c r="W31" s="2">
        <f>SUMPRODUCT(U31:U73,V31:V73)</f>
      </c>
      <c r="X31" s="2">
        <f>IF(Q31=0,0,((W31+(betaPrime*(S31-S74)))-(($BB$18*(T31-T23))*(D31&lt;=$BB$4)))/Q31)</f>
      </c>
      <c r="Y31" s="4">
        <f>ROUND((X31*100000),0)</f>
      </c>
      <c r="Z31" s="2">
        <f>(($BB$19*MAX((MIN($BB$4,7)-D31),0))/MIN($BB$4,7))</f>
      </c>
      <c r="AA31" s="2">
        <f>MAX((X31-Z31),0)</f>
      </c>
      <c r="AB31" s="2">
        <f>AA31</f>
      </c>
      <c r="AC31" s="2">
        <f>((MIN(D31,$BB$4)*k_freq)*$BB$14)</f>
      </c>
      <c r="AD31" s="2">
        <f>IF(AC31=0,0,AB31/AC31)</f>
      </c>
      <c r="AF31" s="2">
        <f>MIN(1,((F31+H31)-((F31*H31)/2)))</f>
      </c>
      <c r="AG31" s="2">
        <f>(AG30*(1-AF30))</f>
      </c>
      <c r="AH31" s="2">
        <f>(1-((1-H31)*(1-G31)))</f>
      </c>
      <c r="AI31" s="2">
        <f>MIN(1,((F31+AH31)-((F31*AH31)/2)))</f>
      </c>
      <c r="AJ31" s="2">
        <f>(AJ30*(1-AI30))</f>
      </c>
      <c r="AK31" s="2">
        <f>(AG31*H31)</f>
      </c>
      <c r="AL31" s="2">
        <f>(AG31*I31)</f>
      </c>
      <c r="AM31" s="2">
        <f>(AJ31*I31)</f>
      </c>
      <c r="AN31" s="2">
        <f>SUM(AL31:AL63)</f>
      </c>
      <c r="AO31" s="2">
        <f>SUM(AM31:AM63)</f>
      </c>
      <c r="AP31" s="2">
        <f>(1*IF((D31=0),(1-(3/12)),1))</f>
      </c>
      <c r="AQ31" s="2">
        <f>((AG31*H31)*J31)</f>
      </c>
      <c r="AR31" s="2">
        <f>SUMPRODUCT(AP31:AP62,AQ31:AQ62)</f>
      </c>
      <c r="AS31" s="2">
        <f>IF(AL31=0,0,((AR31+(betaPrime*(AN31-AN63)))-(($BC$18*(AO31-AO23))*(D31&lt;=$BC$4)))/AL31)</f>
      </c>
      <c r="AT31" s="4">
        <f>ROUND((AS31*100000),0)</f>
      </c>
      <c r="AU31" s="2">
        <f>(($BC$19*MAX((MIN($BC$4,7)-D31),0))/MIN($BC$4,7))</f>
      </c>
      <c r="AV31" s="2">
        <f>MAX((AS31-AU31),0)</f>
      </c>
      <c r="AW31" s="2">
        <f>AV31</f>
      </c>
      <c r="AX31" s="2">
        <f>((MIN(D31,$BC$4)*k_freq)*$BC$14)</f>
      </c>
      <c r="AY31" s="2">
        <f>IF(AX31=0,0,AW31/AX31)</f>
      </c>
    </row>
    <row r="32">
      <c r="D32" s="1">
        <v>29</v>
      </c>
      <c r="E32" s="1">
        <f>x_age+D32</f>
      </c>
      <c r="F32" s="3">
        <v>0.01565</v>
      </c>
      <c r="G32" s="3">
        <v>0.00087</v>
      </c>
      <c r="H32" s="3">
        <v>0.018115</v>
      </c>
      <c r="I32" s="3">
        <f>v_disc^(D32)</f>
      </c>
      <c r="J32" s="3">
        <f>v_disc^(D32+0.5)</f>
      </c>
      <c r="K32" s="2">
        <f>MIN(1,((F32+G32)-((F32*G32)/2)))</f>
      </c>
      <c r="L32" s="2">
        <f>(L31*(1-K31))</f>
      </c>
      <c r="M32" s="2">
        <f>(1-((1-G32)*(1-H32)))</f>
      </c>
      <c r="N32" s="2">
        <f>MIN(1,((F32+M32)-((F32*M32)/2)))</f>
      </c>
      <c r="O32" s="2">
        <f>(O31*(1-N31))</f>
      </c>
      <c r="P32" s="2">
        <f>(L32*K32)</f>
      </c>
      <c r="Q32" s="2">
        <f>(L32*I32)</f>
      </c>
      <c r="R32" s="2">
        <f>(O32*I32)</f>
      </c>
      <c r="S32" s="2">
        <f>SUM(Q32:Q74)</f>
      </c>
      <c r="T32" s="2">
        <f>SUM(R32:R74)</f>
      </c>
      <c r="U32" s="2">
        <f>1</f>
      </c>
      <c r="V32" s="2">
        <f>((L32*K32)*J32)</f>
      </c>
      <c r="W32" s="2">
        <f>SUMPRODUCT(U32:U73,V32:V73)</f>
      </c>
      <c r="X32" s="2">
        <f>IF(Q32=0,0,((W32+(betaPrime*(S32-S74)))-(($BB$18*(T32-T23))*(D32&lt;=$BB$4)))/Q32)</f>
      </c>
      <c r="Y32" s="4">
        <f>ROUND((X32*100000),0)</f>
      </c>
      <c r="Z32" s="2">
        <f>(($BB$19*MAX((MIN($BB$4,7)-D32),0))/MIN($BB$4,7))</f>
      </c>
      <c r="AA32" s="2">
        <f>MAX((X32-Z32),0)</f>
      </c>
      <c r="AB32" s="2">
        <f>AA32</f>
      </c>
      <c r="AC32" s="2">
        <f>((MIN(D32,$BB$4)*k_freq)*$BB$14)</f>
      </c>
      <c r="AD32" s="2">
        <f>IF(AC32=0,0,AB32/AC32)</f>
      </c>
      <c r="AF32" s="2">
        <f>MIN(1,((F32+H32)-((F32*H32)/2)))</f>
      </c>
      <c r="AG32" s="2">
        <f>(AG31*(1-AF31))</f>
      </c>
      <c r="AH32" s="2">
        <f>(1-((1-H32)*(1-G32)))</f>
      </c>
      <c r="AI32" s="2">
        <f>MIN(1,((F32+AH32)-((F32*AH32)/2)))</f>
      </c>
      <c r="AJ32" s="2">
        <f>(AJ31*(1-AI31))</f>
      </c>
      <c r="AK32" s="2">
        <f>(AG32*H32)</f>
      </c>
      <c r="AL32" s="2">
        <f>(AG32*I32)</f>
      </c>
      <c r="AM32" s="2">
        <f>(AJ32*I32)</f>
      </c>
      <c r="AN32" s="2">
        <f>SUM(AL32:AL63)</f>
      </c>
      <c r="AO32" s="2">
        <f>SUM(AM32:AM63)</f>
      </c>
      <c r="AP32" s="2">
        <f>(1*IF((D32=0),(1-(3/12)),1))</f>
      </c>
      <c r="AQ32" s="2">
        <f>((AG32*H32)*J32)</f>
      </c>
      <c r="AR32" s="2">
        <f>SUMPRODUCT(AP32:AP62,AQ32:AQ62)</f>
      </c>
      <c r="AS32" s="2">
        <f>IF(AL32=0,0,((AR32+(betaPrime*(AN32-AN63)))-(($BC$18*(AO32-AO23))*(D32&lt;=$BC$4)))/AL32)</f>
      </c>
      <c r="AT32" s="4">
        <f>ROUND((AS32*100000),0)</f>
      </c>
      <c r="AU32" s="2">
        <f>(($BC$19*MAX((MIN($BC$4,7)-D32),0))/MIN($BC$4,7))</f>
      </c>
      <c r="AV32" s="2">
        <f>MAX((AS32-AU32),0)</f>
      </c>
      <c r="AW32" s="2">
        <f>AV32</f>
      </c>
      <c r="AX32" s="2">
        <f>((MIN(D32,$BC$4)*k_freq)*$BC$14)</f>
      </c>
      <c r="AY32" s="2">
        <f>IF(AX32=0,0,AW32/AX32)</f>
      </c>
    </row>
    <row r="33">
      <c r="D33" s="1">
        <v>30</v>
      </c>
      <c r="E33" s="1">
        <f>x_age+D33</f>
      </c>
      <c r="F33" s="3">
        <v>0.01751</v>
      </c>
      <c r="G33" s="3">
        <v>0.001048</v>
      </c>
      <c r="H33" s="3">
        <v>0.019476</v>
      </c>
      <c r="I33" s="3">
        <f>v_disc^(D33)</f>
      </c>
      <c r="J33" s="3">
        <f>v_disc^(D33+0.5)</f>
      </c>
      <c r="K33" s="2">
        <f>MIN(1,((F33+G33)-((F33*G33)/2)))</f>
      </c>
      <c r="L33" s="2">
        <f>(L32*(1-K32))</f>
      </c>
      <c r="M33" s="2">
        <f>(1-((1-G33)*(1-H33)))</f>
      </c>
      <c r="N33" s="2">
        <f>MIN(1,((F33+M33)-((F33*M33)/2)))</f>
      </c>
      <c r="O33" s="2">
        <f>(O32*(1-N32))</f>
      </c>
      <c r="P33" s="2">
        <f>(L33*K33)</f>
      </c>
      <c r="Q33" s="2">
        <f>(L33*I33)</f>
      </c>
      <c r="R33" s="2">
        <f>(O33*I33)</f>
      </c>
      <c r="S33" s="2">
        <f>SUM(Q33:Q74)</f>
      </c>
      <c r="T33" s="2">
        <f>SUM(R33:R74)</f>
      </c>
      <c r="U33" s="2">
        <f>1</f>
      </c>
      <c r="V33" s="2">
        <f>((L33*K33)*J33)</f>
      </c>
      <c r="W33" s="2">
        <f>SUMPRODUCT(U33:U73,V33:V73)</f>
      </c>
      <c r="X33" s="2">
        <f>IF(Q33=0,0,((W33+(betaPrime*(S33-S74)))-(($BB$18*(T33-T23))*(D33&lt;=$BB$4)))/Q33)</f>
      </c>
      <c r="Y33" s="4">
        <f>ROUND((X33*100000),0)</f>
      </c>
      <c r="Z33" s="2">
        <f>(($BB$19*MAX((MIN($BB$4,7)-D33),0))/MIN($BB$4,7))</f>
      </c>
      <c r="AA33" s="2">
        <f>MAX((X33-Z33),0)</f>
      </c>
      <c r="AB33" s="2">
        <f>AA33</f>
      </c>
      <c r="AC33" s="2">
        <f>((MIN(D33,$BB$4)*k_freq)*$BB$14)</f>
      </c>
      <c r="AD33" s="2">
        <f>IF(AC33=0,0,AB33/AC33)</f>
      </c>
      <c r="AF33" s="2">
        <f>MIN(1,((F33+H33)-((F33*H33)/2)))</f>
      </c>
      <c r="AG33" s="2">
        <f>(AG32*(1-AF32))</f>
      </c>
      <c r="AH33" s="2">
        <f>(1-((1-H33)*(1-G33)))</f>
      </c>
      <c r="AI33" s="2">
        <f>MIN(1,((F33+AH33)-((F33*AH33)/2)))</f>
      </c>
      <c r="AJ33" s="2">
        <f>(AJ32*(1-AI32))</f>
      </c>
      <c r="AK33" s="2">
        <f>(AG33*H33)</f>
      </c>
      <c r="AL33" s="2">
        <f>(AG33*I33)</f>
      </c>
      <c r="AM33" s="2">
        <f>(AJ33*I33)</f>
      </c>
      <c r="AN33" s="2">
        <f>SUM(AL33:AL63)</f>
      </c>
      <c r="AO33" s="2">
        <f>SUM(AM33:AM63)</f>
      </c>
      <c r="AP33" s="2">
        <f>(1*IF((D33=0),(1-(3/12)),1))</f>
      </c>
      <c r="AQ33" s="2">
        <f>((AG33*H33)*J33)</f>
      </c>
      <c r="AR33" s="2">
        <f>SUMPRODUCT(AP33:AP62,AQ33:AQ62)</f>
      </c>
      <c r="AS33" s="2">
        <f>IF(AL33=0,0,((AR33+(betaPrime*(AN33-AN63)))-(($BC$18*(AO33-AO23))*(D33&lt;=$BC$4)))/AL33)</f>
      </c>
      <c r="AT33" s="4">
        <f>ROUND((AS33*100000),0)</f>
      </c>
      <c r="AU33" s="2">
        <f>(($BC$19*MAX((MIN($BC$4,7)-D33),0))/MIN($BC$4,7))</f>
      </c>
      <c r="AV33" s="2">
        <f>MAX((AS33-AU33),0)</f>
      </c>
      <c r="AW33" s="2">
        <f>AV33</f>
      </c>
      <c r="AX33" s="2">
        <f>((MIN(D33,$BC$4)*k_freq)*$BC$14)</f>
      </c>
      <c r="AY33" s="2">
        <f>IF(AX33=0,0,AW33/AX33)</f>
      </c>
    </row>
    <row r="34">
      <c r="D34" s="1">
        <v>31</v>
      </c>
      <c r="E34" s="1">
        <f>x_age+D34</f>
      </c>
      <c r="F34" s="3">
        <v>0.01937</v>
      </c>
      <c r="G34" s="3">
        <v>0.001111</v>
      </c>
      <c r="H34" s="3">
        <v>0.020859</v>
      </c>
      <c r="I34" s="3">
        <f>v_disc^(D34)</f>
      </c>
      <c r="J34" s="3">
        <f>v_disc^(D34+0.5)</f>
      </c>
      <c r="K34" s="2">
        <f>MIN(1,((F34+G34)-((F34*G34)/2)))</f>
      </c>
      <c r="L34" s="2">
        <f>(L33*(1-K33))</f>
      </c>
      <c r="M34" s="2">
        <f>(1-((1-G34)*(1-H34)))</f>
      </c>
      <c r="N34" s="2">
        <f>MIN(1,((F34+M34)-((F34*M34)/2)))</f>
      </c>
      <c r="O34" s="2">
        <f>(O33*(1-N33))</f>
      </c>
      <c r="P34" s="2">
        <f>(L34*K34)</f>
      </c>
      <c r="Q34" s="2">
        <f>(L34*I34)</f>
      </c>
      <c r="R34" s="2">
        <f>(O34*I34)</f>
      </c>
      <c r="S34" s="2">
        <f>SUM(Q34:Q74)</f>
      </c>
      <c r="T34" s="2">
        <f>SUM(R34:R74)</f>
      </c>
      <c r="U34" s="2">
        <f>1</f>
      </c>
      <c r="V34" s="2">
        <f>((L34*K34)*J34)</f>
      </c>
      <c r="W34" s="2">
        <f>SUMPRODUCT(U34:U73,V34:V73)</f>
      </c>
      <c r="X34" s="2">
        <f>IF(Q34=0,0,((W34+(betaPrime*(S34-S74)))-(($BB$18*(T34-T23))*(D34&lt;=$BB$4)))/Q34)</f>
      </c>
      <c r="Y34" s="4">
        <f>ROUND((X34*100000),0)</f>
      </c>
      <c r="Z34" s="2">
        <f>(($BB$19*MAX((MIN($BB$4,7)-D34),0))/MIN($BB$4,7))</f>
      </c>
      <c r="AA34" s="2">
        <f>MAX((X34-Z34),0)</f>
      </c>
      <c r="AB34" s="2">
        <f>AA34</f>
      </c>
      <c r="AC34" s="2">
        <f>((MIN(D34,$BB$4)*k_freq)*$BB$14)</f>
      </c>
      <c r="AD34" s="2">
        <f>IF(AC34=0,0,AB34/AC34)</f>
      </c>
      <c r="AF34" s="2">
        <f>MIN(1,((F34+H34)-((F34*H34)/2)))</f>
      </c>
      <c r="AG34" s="2">
        <f>(AG33*(1-AF33))</f>
      </c>
      <c r="AH34" s="2">
        <f>(1-((1-H34)*(1-G34)))</f>
      </c>
      <c r="AI34" s="2">
        <f>MIN(1,((F34+AH34)-((F34*AH34)/2)))</f>
      </c>
      <c r="AJ34" s="2">
        <f>(AJ33*(1-AI33))</f>
      </c>
      <c r="AK34" s="2">
        <f>(AG34*H34)</f>
      </c>
      <c r="AL34" s="2">
        <f>(AG34*I34)</f>
      </c>
      <c r="AM34" s="2">
        <f>(AJ34*I34)</f>
      </c>
      <c r="AN34" s="2">
        <f>SUM(AL34:AL63)</f>
      </c>
      <c r="AO34" s="2">
        <f>SUM(AM34:AM63)</f>
      </c>
      <c r="AP34" s="2">
        <f>(1*IF((D34=0),(1-(3/12)),1))</f>
      </c>
      <c r="AQ34" s="2">
        <f>((AG34*H34)*J34)</f>
      </c>
      <c r="AR34" s="2">
        <f>SUMPRODUCT(AP34:AP62,AQ34:AQ62)</f>
      </c>
      <c r="AS34" s="2">
        <f>IF(AL34=0,0,((AR34+(betaPrime*(AN34-AN63)))-(($BC$18*(AO34-AO23))*(D34&lt;=$BC$4)))/AL34)</f>
      </c>
      <c r="AT34" s="4">
        <f>ROUND((AS34*100000),0)</f>
      </c>
      <c r="AU34" s="2">
        <f>(($BC$19*MAX((MIN($BC$4,7)-D34),0))/MIN($BC$4,7))</f>
      </c>
      <c r="AV34" s="2">
        <f>MAX((AS34-AU34),0)</f>
      </c>
      <c r="AW34" s="2">
        <f>AV34</f>
      </c>
      <c r="AX34" s="2">
        <f>((MIN(D34,$BC$4)*k_freq)*$BC$14)</f>
      </c>
      <c r="AY34" s="2">
        <f>IF(AX34=0,0,AW34/AX34)</f>
      </c>
    </row>
    <row r="35">
      <c r="D35" s="1">
        <v>32</v>
      </c>
      <c r="E35" s="1">
        <f>x_age+D35</f>
      </c>
      <c r="F35" s="3">
        <v>0.02111</v>
      </c>
      <c r="G35" s="3">
        <v>0.001175</v>
      </c>
      <c r="H35" s="3">
        <v>0.022248</v>
      </c>
      <c r="I35" s="3">
        <f>v_disc^(D35)</f>
      </c>
      <c r="J35" s="3">
        <f>v_disc^(D35+0.5)</f>
      </c>
      <c r="K35" s="2">
        <f>MIN(1,((F35+G35)-((F35*G35)/2)))</f>
      </c>
      <c r="L35" s="2">
        <f>(L34*(1-K34))</f>
      </c>
      <c r="M35" s="2">
        <f>(1-((1-G35)*(1-H35)))</f>
      </c>
      <c r="N35" s="2">
        <f>MIN(1,((F35+M35)-((F35*M35)/2)))</f>
      </c>
      <c r="O35" s="2">
        <f>(O34*(1-N34))</f>
      </c>
      <c r="P35" s="2">
        <f>(L35*K35)</f>
      </c>
      <c r="Q35" s="2">
        <f>(L35*I35)</f>
      </c>
      <c r="R35" s="2">
        <f>(O35*I35)</f>
      </c>
      <c r="S35" s="2">
        <f>SUM(Q35:Q74)</f>
      </c>
      <c r="T35" s="2">
        <f>SUM(R35:R74)</f>
      </c>
      <c r="U35" s="2">
        <f>1</f>
      </c>
      <c r="V35" s="2">
        <f>((L35*K35)*J35)</f>
      </c>
      <c r="W35" s="2">
        <f>SUMPRODUCT(U35:U73,V35:V73)</f>
      </c>
      <c r="X35" s="2">
        <f>IF(Q35=0,0,((W35+(betaPrime*(S35-S74)))-(($BB$18*(T35-T23))*(D35&lt;=$BB$4)))/Q35)</f>
      </c>
      <c r="Y35" s="4">
        <f>ROUND((X35*100000),0)</f>
      </c>
      <c r="Z35" s="2">
        <f>(($BB$19*MAX((MIN($BB$4,7)-D35),0))/MIN($BB$4,7))</f>
      </c>
      <c r="AA35" s="2">
        <f>MAX((X35-Z35),0)</f>
      </c>
      <c r="AB35" s="2">
        <f>AA35</f>
      </c>
      <c r="AC35" s="2">
        <f>((MIN(D35,$BB$4)*k_freq)*$BB$14)</f>
      </c>
      <c r="AD35" s="2">
        <f>IF(AC35=0,0,AB35/AC35)</f>
      </c>
      <c r="AF35" s="2">
        <f>MIN(1,((F35+H35)-((F35*H35)/2)))</f>
      </c>
      <c r="AG35" s="2">
        <f>(AG34*(1-AF34))</f>
      </c>
      <c r="AH35" s="2">
        <f>(1-((1-H35)*(1-G35)))</f>
      </c>
      <c r="AI35" s="2">
        <f>MIN(1,((F35+AH35)-((F35*AH35)/2)))</f>
      </c>
      <c r="AJ35" s="2">
        <f>(AJ34*(1-AI34))</f>
      </c>
      <c r="AK35" s="2">
        <f>(AG35*H35)</f>
      </c>
      <c r="AL35" s="2">
        <f>(AG35*I35)</f>
      </c>
      <c r="AM35" s="2">
        <f>(AJ35*I35)</f>
      </c>
      <c r="AN35" s="2">
        <f>SUM(AL35:AL63)</f>
      </c>
      <c r="AO35" s="2">
        <f>SUM(AM35:AM63)</f>
      </c>
      <c r="AP35" s="2">
        <f>(1*IF((D35=0),(1-(3/12)),1))</f>
      </c>
      <c r="AQ35" s="2">
        <f>((AG35*H35)*J35)</f>
      </c>
      <c r="AR35" s="2">
        <f>SUMPRODUCT(AP35:AP62,AQ35:AQ62)</f>
      </c>
      <c r="AS35" s="2">
        <f>IF(AL35=0,0,((AR35+(betaPrime*(AN35-AN63)))-(($BC$18*(AO35-AO23))*(D35&lt;=$BC$4)))/AL35)</f>
      </c>
      <c r="AT35" s="4">
        <f>ROUND((AS35*100000),0)</f>
      </c>
      <c r="AU35" s="2">
        <f>(($BC$19*MAX((MIN($BC$4,7)-D35),0))/MIN($BC$4,7))</f>
      </c>
      <c r="AV35" s="2">
        <f>MAX((AS35-AU35),0)</f>
      </c>
      <c r="AW35" s="2">
        <f>AV35</f>
      </c>
      <c r="AX35" s="2">
        <f>((MIN(D35,$BC$4)*k_freq)*$BC$14)</f>
      </c>
      <c r="AY35" s="2">
        <f>IF(AX35=0,0,AW35/AX35)</f>
      </c>
    </row>
    <row r="36">
      <c r="D36" s="1">
        <v>33</v>
      </c>
      <c r="E36" s="1">
        <f>x_age+D36</f>
      </c>
      <c r="F36" s="3">
        <v>0.02265</v>
      </c>
      <c r="G36" s="3">
        <v>0.001237</v>
      </c>
      <c r="H36" s="3">
        <v>0.023633</v>
      </c>
      <c r="I36" s="3">
        <f>v_disc^(D36)</f>
      </c>
      <c r="J36" s="3">
        <f>v_disc^(D36+0.5)</f>
      </c>
      <c r="K36" s="2">
        <f>MIN(1,((F36+G36)-((F36*G36)/2)))</f>
      </c>
      <c r="L36" s="2">
        <f>(L35*(1-K35))</f>
      </c>
      <c r="M36" s="2">
        <f>(1-((1-G36)*(1-H36)))</f>
      </c>
      <c r="N36" s="2">
        <f>MIN(1,((F36+M36)-((F36*M36)/2)))</f>
      </c>
      <c r="O36" s="2">
        <f>(O35*(1-N35))</f>
      </c>
      <c r="P36" s="2">
        <f>(L36*K36)</f>
      </c>
      <c r="Q36" s="2">
        <f>(L36*I36)</f>
      </c>
      <c r="R36" s="2">
        <f>(O36*I36)</f>
      </c>
      <c r="S36" s="2">
        <f>SUM(Q36:Q74)</f>
      </c>
      <c r="T36" s="2">
        <f>SUM(R36:R74)</f>
      </c>
      <c r="U36" s="2">
        <f>1</f>
      </c>
      <c r="V36" s="2">
        <f>((L36*K36)*J36)</f>
      </c>
      <c r="W36" s="2">
        <f>SUMPRODUCT(U36:U73,V36:V73)</f>
      </c>
      <c r="X36" s="2">
        <f>IF(Q36=0,0,((W36+(betaPrime*(S36-S74)))-(($BB$18*(T36-T23))*(D36&lt;=$BB$4)))/Q36)</f>
      </c>
      <c r="Y36" s="4">
        <f>ROUND((X36*100000),0)</f>
      </c>
      <c r="Z36" s="2">
        <f>(($BB$19*MAX((MIN($BB$4,7)-D36),0))/MIN($BB$4,7))</f>
      </c>
      <c r="AA36" s="2">
        <f>MAX((X36-Z36),0)</f>
      </c>
      <c r="AB36" s="2">
        <f>AA36</f>
      </c>
      <c r="AC36" s="2">
        <f>((MIN(D36,$BB$4)*k_freq)*$BB$14)</f>
      </c>
      <c r="AD36" s="2">
        <f>IF(AC36=0,0,AB36/AC36)</f>
      </c>
      <c r="AF36" s="2">
        <f>MIN(1,((F36+H36)-((F36*H36)/2)))</f>
      </c>
      <c r="AG36" s="2">
        <f>(AG35*(1-AF35))</f>
      </c>
      <c r="AH36" s="2">
        <f>(1-((1-H36)*(1-G36)))</f>
      </c>
      <c r="AI36" s="2">
        <f>MIN(1,((F36+AH36)-((F36*AH36)/2)))</f>
      </c>
      <c r="AJ36" s="2">
        <f>(AJ35*(1-AI35))</f>
      </c>
      <c r="AK36" s="2">
        <f>(AG36*H36)</f>
      </c>
      <c r="AL36" s="2">
        <f>(AG36*I36)</f>
      </c>
      <c r="AM36" s="2">
        <f>(AJ36*I36)</f>
      </c>
      <c r="AN36" s="2">
        <f>SUM(AL36:AL63)</f>
      </c>
      <c r="AO36" s="2">
        <f>SUM(AM36:AM63)</f>
      </c>
      <c r="AP36" s="2">
        <f>(1*IF((D36=0),(1-(3/12)),1))</f>
      </c>
      <c r="AQ36" s="2">
        <f>((AG36*H36)*J36)</f>
      </c>
      <c r="AR36" s="2">
        <f>SUMPRODUCT(AP36:AP62,AQ36:AQ62)</f>
      </c>
      <c r="AS36" s="2">
        <f>IF(AL36=0,0,((AR36+(betaPrime*(AN36-AN63)))-(($BC$18*(AO36-AO23))*(D36&lt;=$BC$4)))/AL36)</f>
      </c>
      <c r="AT36" s="4">
        <f>ROUND((AS36*100000),0)</f>
      </c>
      <c r="AU36" s="2">
        <f>(($BC$19*MAX((MIN($BC$4,7)-D36),0))/MIN($BC$4,7))</f>
      </c>
      <c r="AV36" s="2">
        <f>MAX((AS36-AU36),0)</f>
      </c>
      <c r="AW36" s="2">
        <f>AV36</f>
      </c>
      <c r="AX36" s="2">
        <f>((MIN(D36,$BC$4)*k_freq)*$BC$14)</f>
      </c>
      <c r="AY36" s="2">
        <f>IF(AX36=0,0,AW36/AX36)</f>
      </c>
    </row>
    <row r="37">
      <c r="D37" s="1">
        <v>34</v>
      </c>
      <c r="E37" s="1">
        <f>x_age+D37</f>
      </c>
      <c r="F37" s="3">
        <v>0.02402</v>
      </c>
      <c r="G37" s="3">
        <v>0.001294</v>
      </c>
      <c r="H37" s="3">
        <v>0.02502</v>
      </c>
      <c r="I37" s="3">
        <f>v_disc^(D37)</f>
      </c>
      <c r="J37" s="3">
        <f>v_disc^(D37+0.5)</f>
      </c>
      <c r="K37" s="2">
        <f>MIN(1,((F37+G37)-((F37*G37)/2)))</f>
      </c>
      <c r="L37" s="2">
        <f>(L36*(1-K36))</f>
      </c>
      <c r="M37" s="2">
        <f>(1-((1-G37)*(1-H37)))</f>
      </c>
      <c r="N37" s="2">
        <f>MIN(1,((F37+M37)-((F37*M37)/2)))</f>
      </c>
      <c r="O37" s="2">
        <f>(O36*(1-N36))</f>
      </c>
      <c r="P37" s="2">
        <f>(L37*K37)</f>
      </c>
      <c r="Q37" s="2">
        <f>(L37*I37)</f>
      </c>
      <c r="R37" s="2">
        <f>(O37*I37)</f>
      </c>
      <c r="S37" s="2">
        <f>SUM(Q37:Q74)</f>
      </c>
      <c r="T37" s="2">
        <f>SUM(R37:R74)</f>
      </c>
      <c r="U37" s="2">
        <f>1</f>
      </c>
      <c r="V37" s="2">
        <f>((L37*K37)*J37)</f>
      </c>
      <c r="W37" s="2">
        <f>SUMPRODUCT(U37:U73,V37:V73)</f>
      </c>
      <c r="X37" s="2">
        <f>IF(Q37=0,0,((W37+(betaPrime*(S37-S74)))-(($BB$18*(T37-T23))*(D37&lt;=$BB$4)))/Q37)</f>
      </c>
      <c r="Y37" s="4">
        <f>ROUND((X37*100000),0)</f>
      </c>
      <c r="Z37" s="2">
        <f>(($BB$19*MAX((MIN($BB$4,7)-D37),0))/MIN($BB$4,7))</f>
      </c>
      <c r="AA37" s="2">
        <f>MAX((X37-Z37),0)</f>
      </c>
      <c r="AB37" s="2">
        <f>AA37</f>
      </c>
      <c r="AC37" s="2">
        <f>((MIN(D37,$BB$4)*k_freq)*$BB$14)</f>
      </c>
      <c r="AD37" s="2">
        <f>IF(AC37=0,0,AB37/AC37)</f>
      </c>
      <c r="AF37" s="2">
        <f>MIN(1,((F37+H37)-((F37*H37)/2)))</f>
      </c>
      <c r="AG37" s="2">
        <f>(AG36*(1-AF36))</f>
      </c>
      <c r="AH37" s="2">
        <f>(1-((1-H37)*(1-G37)))</f>
      </c>
      <c r="AI37" s="2">
        <f>MIN(1,((F37+AH37)-((F37*AH37)/2)))</f>
      </c>
      <c r="AJ37" s="2">
        <f>(AJ36*(1-AI36))</f>
      </c>
      <c r="AK37" s="2">
        <f>(AG37*H37)</f>
      </c>
      <c r="AL37" s="2">
        <f>(AG37*I37)</f>
      </c>
      <c r="AM37" s="2">
        <f>(AJ37*I37)</f>
      </c>
      <c r="AN37" s="2">
        <f>SUM(AL37:AL63)</f>
      </c>
      <c r="AO37" s="2">
        <f>SUM(AM37:AM63)</f>
      </c>
      <c r="AP37" s="2">
        <f>(1*IF((D37=0),(1-(3/12)),1))</f>
      </c>
      <c r="AQ37" s="2">
        <f>((AG37*H37)*J37)</f>
      </c>
      <c r="AR37" s="2">
        <f>SUMPRODUCT(AP37:AP62,AQ37:AQ62)</f>
      </c>
      <c r="AS37" s="2">
        <f>IF(AL37=0,0,((AR37+(betaPrime*(AN37-AN63)))-(($BC$18*(AO37-AO23))*(D37&lt;=$BC$4)))/AL37)</f>
      </c>
      <c r="AT37" s="4">
        <f>ROUND((AS37*100000),0)</f>
      </c>
      <c r="AU37" s="2">
        <f>(($BC$19*MAX((MIN($BC$4,7)-D37),0))/MIN($BC$4,7))</f>
      </c>
      <c r="AV37" s="2">
        <f>MAX((AS37-AU37),0)</f>
      </c>
      <c r="AW37" s="2">
        <f>AV37</f>
      </c>
      <c r="AX37" s="2">
        <f>((MIN(D37,$BC$4)*k_freq)*$BC$14)</f>
      </c>
      <c r="AY37" s="2">
        <f>IF(AX37=0,0,AW37/AX37)</f>
      </c>
    </row>
    <row r="38">
      <c r="D38" s="1">
        <v>35</v>
      </c>
      <c r="E38" s="1">
        <f>x_age+D38</f>
      </c>
      <c r="F38" s="3">
        <v>0.02546</v>
      </c>
      <c r="G38" s="3">
        <v>0.001347</v>
      </c>
      <c r="H38" s="3">
        <v>0.026434</v>
      </c>
      <c r="I38" s="3">
        <f>v_disc^(D38)</f>
      </c>
      <c r="J38" s="3">
        <f>v_disc^(D38+0.5)</f>
      </c>
      <c r="K38" s="2">
        <f>MIN(1,((F38+G38)-((F38*G38)/2)))</f>
      </c>
      <c r="L38" s="2">
        <f>(L37*(1-K37))</f>
      </c>
      <c r="M38" s="2">
        <f>(1-((1-G38)*(1-H38)))</f>
      </c>
      <c r="N38" s="2">
        <f>MIN(1,((F38+M38)-((F38*M38)/2)))</f>
      </c>
      <c r="O38" s="2">
        <f>(O37*(1-N37))</f>
      </c>
      <c r="P38" s="2">
        <f>(L38*K38)</f>
      </c>
      <c r="Q38" s="2">
        <f>(L38*I38)</f>
      </c>
      <c r="R38" s="2">
        <f>(O38*I38)</f>
      </c>
      <c r="S38" s="2">
        <f>SUM(Q38:Q74)</f>
      </c>
      <c r="T38" s="2">
        <f>SUM(R38:R74)</f>
      </c>
      <c r="U38" s="2">
        <f>1</f>
      </c>
      <c r="V38" s="2">
        <f>((L38*K38)*J38)</f>
      </c>
      <c r="W38" s="2">
        <f>SUMPRODUCT(U38:U73,V38:V73)</f>
      </c>
      <c r="X38" s="2">
        <f>IF(Q38=0,0,((W38+(betaPrime*(S38-S74)))-(($BB$18*(T38-T23))*(D38&lt;=$BB$4)))/Q38)</f>
      </c>
      <c r="Y38" s="4">
        <f>ROUND((X38*100000),0)</f>
      </c>
      <c r="Z38" s="2">
        <f>(($BB$19*MAX((MIN($BB$4,7)-D38),0))/MIN($BB$4,7))</f>
      </c>
      <c r="AA38" s="2">
        <f>MAX((X38-Z38),0)</f>
      </c>
      <c r="AB38" s="2">
        <f>AA38</f>
      </c>
      <c r="AC38" s="2">
        <f>((MIN(D38,$BB$4)*k_freq)*$BB$14)</f>
      </c>
      <c r="AD38" s="2">
        <f>IF(AC38=0,0,AB38/AC38)</f>
      </c>
      <c r="AF38" s="2">
        <f>MIN(1,((F38+H38)-((F38*H38)/2)))</f>
      </c>
      <c r="AG38" s="2">
        <f>(AG37*(1-AF37))</f>
      </c>
      <c r="AH38" s="2">
        <f>(1-((1-H38)*(1-G38)))</f>
      </c>
      <c r="AI38" s="2">
        <f>MIN(1,((F38+AH38)-((F38*AH38)/2)))</f>
      </c>
      <c r="AJ38" s="2">
        <f>(AJ37*(1-AI37))</f>
      </c>
      <c r="AK38" s="2">
        <f>(AG38*H38)</f>
      </c>
      <c r="AL38" s="2">
        <f>(AG38*I38)</f>
      </c>
      <c r="AM38" s="2">
        <f>(AJ38*I38)</f>
      </c>
      <c r="AN38" s="2">
        <f>SUM(AL38:AL63)</f>
      </c>
      <c r="AO38" s="2">
        <f>SUM(AM38:AM63)</f>
      </c>
      <c r="AP38" s="2">
        <f>(1*IF((D38=0),(1-(3/12)),1))</f>
      </c>
      <c r="AQ38" s="2">
        <f>((AG38*H38)*J38)</f>
      </c>
      <c r="AR38" s="2">
        <f>SUMPRODUCT(AP38:AP62,AQ38:AQ62)</f>
      </c>
      <c r="AS38" s="2">
        <f>IF(AL38=0,0,((AR38+(betaPrime*(AN38-AN63)))-(($BC$18*(AO38-AO23))*(D38&lt;=$BC$4)))/AL38)</f>
      </c>
      <c r="AT38" s="4">
        <f>ROUND((AS38*100000),0)</f>
      </c>
      <c r="AU38" s="2">
        <f>(($BC$19*MAX((MIN($BC$4,7)-D38),0))/MIN($BC$4,7))</f>
      </c>
      <c r="AV38" s="2">
        <f>MAX((AS38-AU38),0)</f>
      </c>
      <c r="AW38" s="2">
        <f>AV38</f>
      </c>
      <c r="AX38" s="2">
        <f>((MIN(D38,$BC$4)*k_freq)*$BC$14)</f>
      </c>
      <c r="AY38" s="2">
        <f>IF(AX38=0,0,AW38/AX38)</f>
      </c>
    </row>
    <row r="39">
      <c r="D39" s="1">
        <v>36</v>
      </c>
      <c r="E39" s="1">
        <f>x_age+D39</f>
      </c>
      <c r="F39" s="3">
        <v>0.02735</v>
      </c>
      <c r="G39" s="3">
        <v>0.001393</v>
      </c>
      <c r="H39" s="3">
        <v>0.02792</v>
      </c>
      <c r="I39" s="3">
        <f>v_disc^(D39)</f>
      </c>
      <c r="J39" s="3">
        <f>v_disc^(D39+0.5)</f>
      </c>
      <c r="K39" s="2">
        <f>MIN(1,((F39+G39)-((F39*G39)/2)))</f>
      </c>
      <c r="L39" s="2">
        <f>(L38*(1-K38))</f>
      </c>
      <c r="M39" s="2">
        <f>(1-((1-G39)*(1-H39)))</f>
      </c>
      <c r="N39" s="2">
        <f>MIN(1,((F39+M39)-((F39*M39)/2)))</f>
      </c>
      <c r="O39" s="2">
        <f>(O38*(1-N38))</f>
      </c>
      <c r="P39" s="2">
        <f>(L39*K39)</f>
      </c>
      <c r="Q39" s="2">
        <f>(L39*I39)</f>
      </c>
      <c r="R39" s="2">
        <f>(O39*I39)</f>
      </c>
      <c r="S39" s="2">
        <f>SUM(Q39:Q74)</f>
      </c>
      <c r="T39" s="2">
        <f>SUM(R39:R74)</f>
      </c>
      <c r="U39" s="2">
        <f>1</f>
      </c>
      <c r="V39" s="2">
        <f>((L39*K39)*J39)</f>
      </c>
      <c r="W39" s="2">
        <f>SUMPRODUCT(U39:U73,V39:V73)</f>
      </c>
      <c r="X39" s="2">
        <f>IF(Q39=0,0,((W39+(betaPrime*(S39-S74)))-(($BB$18*(T39-T23))*(D39&lt;=$BB$4)))/Q39)</f>
      </c>
      <c r="Y39" s="4">
        <f>ROUND((X39*100000),0)</f>
      </c>
      <c r="Z39" s="2">
        <f>(($BB$19*MAX((MIN($BB$4,7)-D39),0))/MIN($BB$4,7))</f>
      </c>
      <c r="AA39" s="2">
        <f>MAX((X39-Z39),0)</f>
      </c>
      <c r="AB39" s="2">
        <f>AA39</f>
      </c>
      <c r="AC39" s="2">
        <f>((MIN(D39,$BB$4)*k_freq)*$BB$14)</f>
      </c>
      <c r="AD39" s="2">
        <f>IF(AC39=0,0,AB39/AC39)</f>
      </c>
      <c r="AF39" s="2">
        <f>MIN(1,((F39+H39)-((F39*H39)/2)))</f>
      </c>
      <c r="AG39" s="2">
        <f>(AG38*(1-AF38))</f>
      </c>
      <c r="AH39" s="2">
        <f>(1-((1-H39)*(1-G39)))</f>
      </c>
      <c r="AI39" s="2">
        <f>MIN(1,((F39+AH39)-((F39*AH39)/2)))</f>
      </c>
      <c r="AJ39" s="2">
        <f>(AJ38*(1-AI38))</f>
      </c>
      <c r="AK39" s="2">
        <f>(AG39*H39)</f>
      </c>
      <c r="AL39" s="2">
        <f>(AG39*I39)</f>
      </c>
      <c r="AM39" s="2">
        <f>(AJ39*I39)</f>
      </c>
      <c r="AN39" s="2">
        <f>SUM(AL39:AL63)</f>
      </c>
      <c r="AO39" s="2">
        <f>SUM(AM39:AM63)</f>
      </c>
      <c r="AP39" s="2">
        <f>(1*IF((D39=0),(1-(3/12)),1))</f>
      </c>
      <c r="AQ39" s="2">
        <f>((AG39*H39)*J39)</f>
      </c>
      <c r="AR39" s="2">
        <f>SUMPRODUCT(AP39:AP62,AQ39:AQ62)</f>
      </c>
      <c r="AS39" s="2">
        <f>IF(AL39=0,0,((AR39+(betaPrime*(AN39-AN63)))-(($BC$18*(AO39-AO23))*(D39&lt;=$BC$4)))/AL39)</f>
      </c>
      <c r="AT39" s="4">
        <f>ROUND((AS39*100000),0)</f>
      </c>
      <c r="AU39" s="2">
        <f>(($BC$19*MAX((MIN($BC$4,7)-D39),0))/MIN($BC$4,7))</f>
      </c>
      <c r="AV39" s="2">
        <f>MAX((AS39-AU39),0)</f>
      </c>
      <c r="AW39" s="2">
        <f>AV39</f>
      </c>
      <c r="AX39" s="2">
        <f>((MIN(D39,$BC$4)*k_freq)*$BC$14)</f>
      </c>
      <c r="AY39" s="2">
        <f>IF(AX39=0,0,AW39/AX39)</f>
      </c>
    </row>
    <row r="40">
      <c r="D40" s="1">
        <v>37</v>
      </c>
      <c r="E40" s="1">
        <f>x_age+D40</f>
      </c>
      <c r="F40" s="3">
        <v>0.03001</v>
      </c>
      <c r="G40" s="3">
        <v>0.001437</v>
      </c>
      <c r="H40" s="3">
        <v>0.029519</v>
      </c>
      <c r="I40" s="3">
        <f>v_disc^(D40)</f>
      </c>
      <c r="J40" s="3">
        <f>v_disc^(D40+0.5)</f>
      </c>
      <c r="K40" s="2">
        <f>MIN(1,((F40+G40)-((F40*G40)/2)))</f>
      </c>
      <c r="L40" s="2">
        <f>(L39*(1-K39))</f>
      </c>
      <c r="M40" s="2">
        <f>(1-((1-G40)*(1-H40)))</f>
      </c>
      <c r="N40" s="2">
        <f>MIN(1,((F40+M40)-((F40*M40)/2)))</f>
      </c>
      <c r="O40" s="2">
        <f>(O39*(1-N39))</f>
      </c>
      <c r="P40" s="2">
        <f>(L40*K40)</f>
      </c>
      <c r="Q40" s="2">
        <f>(L40*I40)</f>
      </c>
      <c r="R40" s="2">
        <f>(O40*I40)</f>
      </c>
      <c r="S40" s="2">
        <f>SUM(Q40:Q74)</f>
      </c>
      <c r="T40" s="2">
        <f>SUM(R40:R74)</f>
      </c>
      <c r="U40" s="2">
        <f>1</f>
      </c>
      <c r="V40" s="2">
        <f>((L40*K40)*J40)</f>
      </c>
      <c r="W40" s="2">
        <f>SUMPRODUCT(U40:U73,V40:V73)</f>
      </c>
      <c r="X40" s="2">
        <f>IF(Q40=0,0,((W40+(betaPrime*(S40-S74)))-(($BB$18*(T40-T23))*(D40&lt;=$BB$4)))/Q40)</f>
      </c>
      <c r="Y40" s="4">
        <f>ROUND((X40*100000),0)</f>
      </c>
      <c r="Z40" s="2">
        <f>(($BB$19*MAX((MIN($BB$4,7)-D40),0))/MIN($BB$4,7))</f>
      </c>
      <c r="AA40" s="2">
        <f>MAX((X40-Z40),0)</f>
      </c>
      <c r="AB40" s="2">
        <f>AA40</f>
      </c>
      <c r="AC40" s="2">
        <f>((MIN(D40,$BB$4)*k_freq)*$BB$14)</f>
      </c>
      <c r="AD40" s="2">
        <f>IF(AC40=0,0,AB40/AC40)</f>
      </c>
      <c r="AF40" s="2">
        <f>MIN(1,((F40+H40)-((F40*H40)/2)))</f>
      </c>
      <c r="AG40" s="2">
        <f>(AG39*(1-AF39))</f>
      </c>
      <c r="AH40" s="2">
        <f>(1-((1-H40)*(1-G40)))</f>
      </c>
      <c r="AI40" s="2">
        <f>MIN(1,((F40+AH40)-((F40*AH40)/2)))</f>
      </c>
      <c r="AJ40" s="2">
        <f>(AJ39*(1-AI39))</f>
      </c>
      <c r="AK40" s="2">
        <f>(AG40*H40)</f>
      </c>
      <c r="AL40" s="2">
        <f>(AG40*I40)</f>
      </c>
      <c r="AM40" s="2">
        <f>(AJ40*I40)</f>
      </c>
      <c r="AN40" s="2">
        <f>SUM(AL40:AL63)</f>
      </c>
      <c r="AO40" s="2">
        <f>SUM(AM40:AM63)</f>
      </c>
      <c r="AP40" s="2">
        <f>(1*IF((D40=0),(1-(3/12)),1))</f>
      </c>
      <c r="AQ40" s="2">
        <f>((AG40*H40)*J40)</f>
      </c>
      <c r="AR40" s="2">
        <f>SUMPRODUCT(AP40:AP62,AQ40:AQ62)</f>
      </c>
      <c r="AS40" s="2">
        <f>IF(AL40=0,0,((AR40+(betaPrime*(AN40-AN63)))-(($BC$18*(AO40-AO23))*(D40&lt;=$BC$4)))/AL40)</f>
      </c>
      <c r="AT40" s="4">
        <f>ROUND((AS40*100000),0)</f>
      </c>
      <c r="AU40" s="2">
        <f>(($BC$19*MAX((MIN($BC$4,7)-D40),0))/MIN($BC$4,7))</f>
      </c>
      <c r="AV40" s="2">
        <f>MAX((AS40-AU40),0)</f>
      </c>
      <c r="AW40" s="2">
        <f>AV40</f>
      </c>
      <c r="AX40" s="2">
        <f>((MIN(D40,$BC$4)*k_freq)*$BC$14)</f>
      </c>
      <c r="AY40" s="2">
        <f>IF(AX40=0,0,AW40/AX40)</f>
      </c>
    </row>
    <row r="41">
      <c r="D41" s="1">
        <v>38</v>
      </c>
      <c r="E41" s="1">
        <f>x_age+D41</f>
      </c>
      <c r="F41" s="3">
        <v>0.03347</v>
      </c>
      <c r="G41" s="3">
        <v>0.001478</v>
      </c>
      <c r="H41" s="3">
        <v>0.031298</v>
      </c>
      <c r="I41" s="3">
        <f>v_disc^(D41)</f>
      </c>
      <c r="J41" s="3">
        <f>v_disc^(D41+0.5)</f>
      </c>
      <c r="K41" s="2">
        <f>MIN(1,((F41+G41)-((F41*G41)/2)))</f>
      </c>
      <c r="L41" s="2">
        <f>(L40*(1-K40))</f>
      </c>
      <c r="M41" s="2">
        <f>(1-((1-G41)*(1-H41)))</f>
      </c>
      <c r="N41" s="2">
        <f>MIN(1,((F41+M41)-((F41*M41)/2)))</f>
      </c>
      <c r="O41" s="2">
        <f>(O40*(1-N40))</f>
      </c>
      <c r="P41" s="2">
        <f>(L41*K41)</f>
      </c>
      <c r="Q41" s="2">
        <f>(L41*I41)</f>
      </c>
      <c r="R41" s="2">
        <f>(O41*I41)</f>
      </c>
      <c r="S41" s="2">
        <f>SUM(Q41:Q74)</f>
      </c>
      <c r="T41" s="2">
        <f>SUM(R41:R74)</f>
      </c>
      <c r="U41" s="2">
        <f>1</f>
      </c>
      <c r="V41" s="2">
        <f>((L41*K41)*J41)</f>
      </c>
      <c r="W41" s="2">
        <f>SUMPRODUCT(U41:U73,V41:V73)</f>
      </c>
      <c r="X41" s="2">
        <f>IF(Q41=0,0,((W41+(betaPrime*(S41-S74)))-(($BB$18*(T41-T23))*(D41&lt;=$BB$4)))/Q41)</f>
      </c>
      <c r="Y41" s="4">
        <f>ROUND((X41*100000),0)</f>
      </c>
      <c r="Z41" s="2">
        <f>(($BB$19*MAX((MIN($BB$4,7)-D41),0))/MIN($BB$4,7))</f>
      </c>
      <c r="AA41" s="2">
        <f>MAX((X41-Z41),0)</f>
      </c>
      <c r="AB41" s="2">
        <f>AA41</f>
      </c>
      <c r="AC41" s="2">
        <f>((MIN(D41,$BB$4)*k_freq)*$BB$14)</f>
      </c>
      <c r="AD41" s="2">
        <f>IF(AC41=0,0,AB41/AC41)</f>
      </c>
      <c r="AF41" s="2">
        <f>MIN(1,((F41+H41)-((F41*H41)/2)))</f>
      </c>
      <c r="AG41" s="2">
        <f>(AG40*(1-AF40))</f>
      </c>
      <c r="AH41" s="2">
        <f>(1-((1-H41)*(1-G41)))</f>
      </c>
      <c r="AI41" s="2">
        <f>MIN(1,((F41+AH41)-((F41*AH41)/2)))</f>
      </c>
      <c r="AJ41" s="2">
        <f>(AJ40*(1-AI40))</f>
      </c>
      <c r="AK41" s="2">
        <f>(AG41*H41)</f>
      </c>
      <c r="AL41" s="2">
        <f>(AG41*I41)</f>
      </c>
      <c r="AM41" s="2">
        <f>(AJ41*I41)</f>
      </c>
      <c r="AN41" s="2">
        <f>SUM(AL41:AL63)</f>
      </c>
      <c r="AO41" s="2">
        <f>SUM(AM41:AM63)</f>
      </c>
      <c r="AP41" s="2">
        <f>(1*IF((D41=0),(1-(3/12)),1))</f>
      </c>
      <c r="AQ41" s="2">
        <f>((AG41*H41)*J41)</f>
      </c>
      <c r="AR41" s="2">
        <f>SUMPRODUCT(AP41:AP62,AQ41:AQ62)</f>
      </c>
      <c r="AS41" s="2">
        <f>IF(AL41=0,0,((AR41+(betaPrime*(AN41-AN63)))-(($BC$18*(AO41-AO23))*(D41&lt;=$BC$4)))/AL41)</f>
      </c>
      <c r="AT41" s="4">
        <f>ROUND((AS41*100000),0)</f>
      </c>
      <c r="AU41" s="2">
        <f>(($BC$19*MAX((MIN($BC$4,7)-D41),0))/MIN($BC$4,7))</f>
      </c>
      <c r="AV41" s="2">
        <f>MAX((AS41-AU41),0)</f>
      </c>
      <c r="AW41" s="2">
        <f>AV41</f>
      </c>
      <c r="AX41" s="2">
        <f>((MIN(D41,$BC$4)*k_freq)*$BC$14)</f>
      </c>
      <c r="AY41" s="2">
        <f>IF(AX41=0,0,AW41/AX41)</f>
      </c>
    </row>
    <row r="42">
      <c r="D42" s="1">
        <v>39</v>
      </c>
      <c r="E42" s="1">
        <f>x_age+D42</f>
      </c>
      <c r="F42" s="3">
        <v>0.03759</v>
      </c>
      <c r="G42" s="3">
        <v>0.001519</v>
      </c>
      <c r="H42" s="3">
        <v>0.033236</v>
      </c>
      <c r="I42" s="3">
        <f>v_disc^(D42)</f>
      </c>
      <c r="J42" s="3">
        <f>v_disc^(D42+0.5)</f>
      </c>
      <c r="K42" s="2">
        <f>MIN(1,((F42+G42)-((F42*G42)/2)))</f>
      </c>
      <c r="L42" s="2">
        <f>(L41*(1-K41))</f>
      </c>
      <c r="M42" s="2">
        <f>(1-((1-G42)*(1-H42)))</f>
      </c>
      <c r="N42" s="2">
        <f>MIN(1,((F42+M42)-((F42*M42)/2)))</f>
      </c>
      <c r="O42" s="2">
        <f>(O41*(1-N41))</f>
      </c>
      <c r="P42" s="2">
        <f>(L42*K42)</f>
      </c>
      <c r="Q42" s="2">
        <f>(L42*I42)</f>
      </c>
      <c r="R42" s="2">
        <f>(O42*I42)</f>
      </c>
      <c r="S42" s="2">
        <f>SUM(Q42:Q74)</f>
      </c>
      <c r="T42" s="2">
        <f>SUM(R42:R74)</f>
      </c>
      <c r="U42" s="2">
        <f>1</f>
      </c>
      <c r="V42" s="2">
        <f>((L42*K42)*J42)</f>
      </c>
      <c r="W42" s="2">
        <f>SUMPRODUCT(U42:U73,V42:V73)</f>
      </c>
      <c r="X42" s="2">
        <f>IF(Q42=0,0,((W42+(betaPrime*(S42-S74)))-(($BB$18*(T42-T23))*(D42&lt;=$BB$4)))/Q42)</f>
      </c>
      <c r="Y42" s="4">
        <f>ROUND((X42*100000),0)</f>
      </c>
      <c r="Z42" s="2">
        <f>(($BB$19*MAX((MIN($BB$4,7)-D42),0))/MIN($BB$4,7))</f>
      </c>
      <c r="AA42" s="2">
        <f>MAX((X42-Z42),0)</f>
      </c>
      <c r="AB42" s="2">
        <f>AA42</f>
      </c>
      <c r="AC42" s="2">
        <f>((MIN(D42,$BB$4)*k_freq)*$BB$14)</f>
      </c>
      <c r="AD42" s="2">
        <f>IF(AC42=0,0,AB42/AC42)</f>
      </c>
      <c r="AF42" s="2">
        <f>MIN(1,((F42+H42)-((F42*H42)/2)))</f>
      </c>
      <c r="AG42" s="2">
        <f>(AG41*(1-AF41))</f>
      </c>
      <c r="AH42" s="2">
        <f>(1-((1-H42)*(1-G42)))</f>
      </c>
      <c r="AI42" s="2">
        <f>MIN(1,((F42+AH42)-((F42*AH42)/2)))</f>
      </c>
      <c r="AJ42" s="2">
        <f>(AJ41*(1-AI41))</f>
      </c>
      <c r="AK42" s="2">
        <f>(AG42*H42)</f>
      </c>
      <c r="AL42" s="2">
        <f>(AG42*I42)</f>
      </c>
      <c r="AM42" s="2">
        <f>(AJ42*I42)</f>
      </c>
      <c r="AN42" s="2">
        <f>SUM(AL42:AL63)</f>
      </c>
      <c r="AO42" s="2">
        <f>SUM(AM42:AM63)</f>
      </c>
      <c r="AP42" s="2">
        <f>(1*IF((D42=0),(1-(3/12)),1))</f>
      </c>
      <c r="AQ42" s="2">
        <f>((AG42*H42)*J42)</f>
      </c>
      <c r="AR42" s="2">
        <f>SUMPRODUCT(AP42:AP62,AQ42:AQ62)</f>
      </c>
      <c r="AS42" s="2">
        <f>IF(AL42=0,0,((AR42+(betaPrime*(AN42-AN63)))-(($BC$18*(AO42-AO23))*(D42&lt;=$BC$4)))/AL42)</f>
      </c>
      <c r="AT42" s="4">
        <f>ROUND((AS42*100000),0)</f>
      </c>
      <c r="AU42" s="2">
        <f>(($BC$19*MAX((MIN($BC$4,7)-D42),0))/MIN($BC$4,7))</f>
      </c>
      <c r="AV42" s="2">
        <f>MAX((AS42-AU42),0)</f>
      </c>
      <c r="AW42" s="2">
        <f>AV42</f>
      </c>
      <c r="AX42" s="2">
        <f>((MIN(D42,$BC$4)*k_freq)*$BC$14)</f>
      </c>
      <c r="AY42" s="2">
        <f>IF(AX42=0,0,AW42/AX42)</f>
      </c>
    </row>
    <row r="43">
      <c r="D43" s="1">
        <v>40</v>
      </c>
      <c r="E43" s="1">
        <f>x_age+D43</f>
      </c>
      <c r="F43" s="3">
        <v>0.04231</v>
      </c>
      <c r="G43" s="3">
        <v>0.00157</v>
      </c>
      <c r="H43" s="3">
        <v>0.035185</v>
      </c>
      <c r="I43" s="3">
        <f>v_disc^(D43)</f>
      </c>
      <c r="J43" s="3">
        <f>v_disc^(D43+0.5)</f>
      </c>
      <c r="K43" s="2">
        <f>MIN(1,((F43+G43)-((F43*G43)/2)))</f>
      </c>
      <c r="L43" s="2">
        <f>(L42*(1-K42))</f>
      </c>
      <c r="M43" s="2">
        <f>(1-((1-G43)*(1-H43)))</f>
      </c>
      <c r="N43" s="2">
        <f>MIN(1,((F43+M43)-((F43*M43)/2)))</f>
      </c>
      <c r="O43" s="2">
        <f>(O42*(1-N42))</f>
      </c>
      <c r="P43" s="2">
        <f>(L43*K43)</f>
      </c>
      <c r="Q43" s="2">
        <f>(L43*I43)</f>
      </c>
      <c r="R43" s="2">
        <f>(O43*I43)</f>
      </c>
      <c r="S43" s="2">
        <f>SUM(Q43:Q74)</f>
      </c>
      <c r="T43" s="2">
        <f>SUM(R43:R74)</f>
      </c>
      <c r="U43" s="2">
        <f>1</f>
      </c>
      <c r="V43" s="2">
        <f>((L43*K43)*J43)</f>
      </c>
      <c r="W43" s="2">
        <f>SUMPRODUCT(U43:U73,V43:V73)</f>
      </c>
      <c r="X43" s="2">
        <f>IF(Q43=0,0,((W43+(betaPrime*(S43-S74)))-(($BB$18*(T43-T23))*(D43&lt;=$BB$4)))/Q43)</f>
      </c>
      <c r="Y43" s="4">
        <f>ROUND((X43*100000),0)</f>
      </c>
      <c r="Z43" s="2">
        <f>(($BB$19*MAX((MIN($BB$4,7)-D43),0))/MIN($BB$4,7))</f>
      </c>
      <c r="AA43" s="2">
        <f>MAX((X43-Z43),0)</f>
      </c>
      <c r="AB43" s="2">
        <f>AA43</f>
      </c>
      <c r="AC43" s="2">
        <f>((MIN(D43,$BB$4)*k_freq)*$BB$14)</f>
      </c>
      <c r="AD43" s="2">
        <f>IF(AC43=0,0,AB43/AC43)</f>
      </c>
      <c r="AF43" s="2">
        <f>MIN(1,((F43+H43)-((F43*H43)/2)))</f>
      </c>
      <c r="AG43" s="2">
        <f>(AG42*(1-AF42))</f>
      </c>
      <c r="AH43" s="2">
        <f>(1-((1-H43)*(1-G43)))</f>
      </c>
      <c r="AI43" s="2">
        <f>MIN(1,((F43+AH43)-((F43*AH43)/2)))</f>
      </c>
      <c r="AJ43" s="2">
        <f>(AJ42*(1-AI42))</f>
      </c>
      <c r="AK43" s="2">
        <f>(AG43*H43)</f>
      </c>
      <c r="AL43" s="2">
        <f>(AG43*I43)</f>
      </c>
      <c r="AM43" s="2">
        <f>(AJ43*I43)</f>
      </c>
      <c r="AN43" s="2">
        <f>SUM(AL43:AL63)</f>
      </c>
      <c r="AO43" s="2">
        <f>SUM(AM43:AM63)</f>
      </c>
      <c r="AP43" s="2">
        <f>(1*IF((D43=0),(1-(3/12)),1))</f>
      </c>
      <c r="AQ43" s="2">
        <f>((AG43*H43)*J43)</f>
      </c>
      <c r="AR43" s="2">
        <f>SUMPRODUCT(AP43:AP62,AQ43:AQ62)</f>
      </c>
      <c r="AS43" s="2">
        <f>IF(AL43=0,0,((AR43+(betaPrime*(AN43-AN63)))-(($BC$18*(AO43-AO23))*(D43&lt;=$BC$4)))/AL43)</f>
      </c>
      <c r="AT43" s="4">
        <f>ROUND((AS43*100000),0)</f>
      </c>
      <c r="AU43" s="2">
        <f>(($BC$19*MAX((MIN($BC$4,7)-D43),0))/MIN($BC$4,7))</f>
      </c>
      <c r="AV43" s="2">
        <f>MAX((AS43-AU43),0)</f>
      </c>
      <c r="AW43" s="2">
        <f>AV43</f>
      </c>
      <c r="AX43" s="2">
        <f>((MIN(D43,$BC$4)*k_freq)*$BC$14)</f>
      </c>
      <c r="AY43" s="2">
        <f>IF(AX43=0,0,AW43/AX43)</f>
      </c>
    </row>
    <row r="44">
      <c r="D44" s="1">
        <v>41</v>
      </c>
      <c r="E44" s="1">
        <f>x_age+D44</f>
      </c>
      <c r="F44" s="3">
        <v>0.04771</v>
      </c>
      <c r="G44" s="3">
        <v>0.001601</v>
      </c>
      <c r="H44" s="3">
        <v>0.036923</v>
      </c>
      <c r="I44" s="3">
        <f>v_disc^(D44)</f>
      </c>
      <c r="J44" s="3">
        <f>v_disc^(D44+0.5)</f>
      </c>
      <c r="K44" s="2">
        <f>MIN(1,((F44+G44)-((F44*G44)/2)))</f>
      </c>
      <c r="L44" s="2">
        <f>(L43*(1-K43))</f>
      </c>
      <c r="M44" s="2">
        <f>(1-((1-G44)*(1-H44)))</f>
      </c>
      <c r="N44" s="2">
        <f>MIN(1,((F44+M44)-((F44*M44)/2)))</f>
      </c>
      <c r="O44" s="2">
        <f>(O43*(1-N43))</f>
      </c>
      <c r="P44" s="2">
        <f>(L44*K44)</f>
      </c>
      <c r="Q44" s="2">
        <f>(L44*I44)</f>
      </c>
      <c r="R44" s="2">
        <f>(O44*I44)</f>
      </c>
      <c r="S44" s="2">
        <f>SUM(Q44:Q74)</f>
      </c>
      <c r="T44" s="2">
        <f>SUM(R44:R74)</f>
      </c>
      <c r="U44" s="2">
        <f>1</f>
      </c>
      <c r="V44" s="2">
        <f>((L44*K44)*J44)</f>
      </c>
      <c r="W44" s="2">
        <f>SUMPRODUCT(U44:U73,V44:V73)</f>
      </c>
      <c r="X44" s="2">
        <f>IF(Q44=0,0,((W44+(betaPrime*(S44-S74)))-(($BB$18*(T44-T23))*(D44&lt;=$BB$4)))/Q44)</f>
      </c>
      <c r="Y44" s="4">
        <f>ROUND((X44*100000),0)</f>
      </c>
      <c r="Z44" s="2">
        <f>(($BB$19*MAX((MIN($BB$4,7)-D44),0))/MIN($BB$4,7))</f>
      </c>
      <c r="AA44" s="2">
        <f>MAX((X44-Z44),0)</f>
      </c>
      <c r="AB44" s="2">
        <f>AA44</f>
      </c>
      <c r="AC44" s="2">
        <f>((MIN(D44,$BB$4)*k_freq)*$BB$14)</f>
      </c>
      <c r="AD44" s="2">
        <f>IF(AC44=0,0,AB44/AC44)</f>
      </c>
      <c r="AF44" s="2">
        <f>MIN(1,((F44+H44)-((F44*H44)/2)))</f>
      </c>
      <c r="AG44" s="2">
        <f>(AG43*(1-AF43))</f>
      </c>
      <c r="AH44" s="2">
        <f>(1-((1-H44)*(1-G44)))</f>
      </c>
      <c r="AI44" s="2">
        <f>MIN(1,((F44+AH44)-((F44*AH44)/2)))</f>
      </c>
      <c r="AJ44" s="2">
        <f>(AJ43*(1-AI43))</f>
      </c>
      <c r="AK44" s="2">
        <f>(AG44*H44)</f>
      </c>
      <c r="AL44" s="2">
        <f>(AG44*I44)</f>
      </c>
      <c r="AM44" s="2">
        <f>(AJ44*I44)</f>
      </c>
      <c r="AN44" s="2">
        <f>SUM(AL44:AL63)</f>
      </c>
      <c r="AO44" s="2">
        <f>SUM(AM44:AM63)</f>
      </c>
      <c r="AP44" s="2">
        <f>(1*IF((D44=0),(1-(3/12)),1))</f>
      </c>
      <c r="AQ44" s="2">
        <f>((AG44*H44)*J44)</f>
      </c>
      <c r="AR44" s="2">
        <f>SUMPRODUCT(AP44:AP62,AQ44:AQ62)</f>
      </c>
      <c r="AS44" s="2">
        <f>IF(AL44=0,0,((AR44+(betaPrime*(AN44-AN63)))-(($BC$18*(AO44-AO23))*(D44&lt;=$BC$4)))/AL44)</f>
      </c>
      <c r="AT44" s="4">
        <f>ROUND((AS44*100000),0)</f>
      </c>
      <c r="AU44" s="2">
        <f>(($BC$19*MAX((MIN($BC$4,7)-D44),0))/MIN($BC$4,7))</f>
      </c>
      <c r="AV44" s="2">
        <f>MAX((AS44-AU44),0)</f>
      </c>
      <c r="AW44" s="2">
        <f>AV44</f>
      </c>
      <c r="AX44" s="2">
        <f>((MIN(D44,$BC$4)*k_freq)*$BC$14)</f>
      </c>
      <c r="AY44" s="2">
        <f>IF(AX44=0,0,AW44/AX44)</f>
      </c>
    </row>
    <row r="45">
      <c r="D45" s="1">
        <v>42</v>
      </c>
      <c r="E45" s="1">
        <f>x_age+D45</f>
      </c>
      <c r="F45" s="3">
        <v>0.05396</v>
      </c>
      <c r="G45" s="3">
        <v>0.001637</v>
      </c>
      <c r="H45" s="3">
        <v>0.038262</v>
      </c>
      <c r="I45" s="3">
        <f>v_disc^(D45)</f>
      </c>
      <c r="J45" s="3">
        <f>v_disc^(D45+0.5)</f>
      </c>
      <c r="K45" s="2">
        <f>MIN(1,((F45+G45)-((F45*G45)/2)))</f>
      </c>
      <c r="L45" s="2">
        <f>(L44*(1-K44))</f>
      </c>
      <c r="M45" s="2">
        <f>(1-((1-G45)*(1-H45)))</f>
      </c>
      <c r="N45" s="2">
        <f>MIN(1,((F45+M45)-((F45*M45)/2)))</f>
      </c>
      <c r="O45" s="2">
        <f>(O44*(1-N44))</f>
      </c>
      <c r="P45" s="2">
        <f>(L45*K45)</f>
      </c>
      <c r="Q45" s="2">
        <f>(L45*I45)</f>
      </c>
      <c r="R45" s="2">
        <f>(O45*I45)</f>
      </c>
      <c r="S45" s="2">
        <f>SUM(Q45:Q74)</f>
      </c>
      <c r="T45" s="2">
        <f>SUM(R45:R74)</f>
      </c>
      <c r="U45" s="2">
        <f>1</f>
      </c>
      <c r="V45" s="2">
        <f>((L45*K45)*J45)</f>
      </c>
      <c r="W45" s="2">
        <f>SUMPRODUCT(U45:U73,V45:V73)</f>
      </c>
      <c r="X45" s="2">
        <f>IF(Q45=0,0,((W45+(betaPrime*(S45-S74)))-(($BB$18*(T45-T23))*(D45&lt;=$BB$4)))/Q45)</f>
      </c>
      <c r="Y45" s="4">
        <f>ROUND((X45*100000),0)</f>
      </c>
      <c r="Z45" s="2">
        <f>(($BB$19*MAX((MIN($BB$4,7)-D45),0))/MIN($BB$4,7))</f>
      </c>
      <c r="AA45" s="2">
        <f>MAX((X45-Z45),0)</f>
      </c>
      <c r="AB45" s="2">
        <f>AA45</f>
      </c>
      <c r="AC45" s="2">
        <f>((MIN(D45,$BB$4)*k_freq)*$BB$14)</f>
      </c>
      <c r="AD45" s="2">
        <f>IF(AC45=0,0,AB45/AC45)</f>
      </c>
      <c r="AF45" s="2">
        <f>MIN(1,((F45+H45)-((F45*H45)/2)))</f>
      </c>
      <c r="AG45" s="2">
        <f>(AG44*(1-AF44))</f>
      </c>
      <c r="AH45" s="2">
        <f>(1-((1-H45)*(1-G45)))</f>
      </c>
      <c r="AI45" s="2">
        <f>MIN(1,((F45+AH45)-((F45*AH45)/2)))</f>
      </c>
      <c r="AJ45" s="2">
        <f>(AJ44*(1-AI44))</f>
      </c>
      <c r="AK45" s="2">
        <f>(AG45*H45)</f>
      </c>
      <c r="AL45" s="2">
        <f>(AG45*I45)</f>
      </c>
      <c r="AM45" s="2">
        <f>(AJ45*I45)</f>
      </c>
      <c r="AN45" s="2">
        <f>SUM(AL45:AL63)</f>
      </c>
      <c r="AO45" s="2">
        <f>SUM(AM45:AM63)</f>
      </c>
      <c r="AP45" s="2">
        <f>(1*IF((D45=0),(1-(3/12)),1))</f>
      </c>
      <c r="AQ45" s="2">
        <f>((AG45*H45)*J45)</f>
      </c>
      <c r="AR45" s="2">
        <f>SUMPRODUCT(AP45:AP62,AQ45:AQ62)</f>
      </c>
      <c r="AS45" s="2">
        <f>IF(AL45=0,0,((AR45+(betaPrime*(AN45-AN63)))-(($BC$18*(AO45-AO23))*(D45&lt;=$BC$4)))/AL45)</f>
      </c>
      <c r="AT45" s="4">
        <f>ROUND((AS45*100000),0)</f>
      </c>
      <c r="AU45" s="2">
        <f>(($BC$19*MAX((MIN($BC$4,7)-D45),0))/MIN($BC$4,7))</f>
      </c>
      <c r="AV45" s="2">
        <f>MAX((AS45-AU45),0)</f>
      </c>
      <c r="AW45" s="2">
        <f>AV45</f>
      </c>
      <c r="AX45" s="2">
        <f>((MIN(D45,$BC$4)*k_freq)*$BC$14)</f>
      </c>
      <c r="AY45" s="2">
        <f>IF(AX45=0,0,AW45/AX45)</f>
      </c>
    </row>
    <row r="46">
      <c r="D46" s="1">
        <v>43</v>
      </c>
      <c r="E46" s="1">
        <f>x_age+D46</f>
      </c>
      <c r="F46" s="3">
        <v>0.0611</v>
      </c>
      <c r="G46" s="3">
        <v>0.001697</v>
      </c>
      <c r="H46" s="3">
        <v>0.039146</v>
      </c>
      <c r="I46" s="3">
        <f>v_disc^(D46)</f>
      </c>
      <c r="J46" s="3">
        <f>v_disc^(D46+0.5)</f>
      </c>
      <c r="K46" s="2">
        <f>MIN(1,((F46+G46)-((F46*G46)/2)))</f>
      </c>
      <c r="L46" s="2">
        <f>(L45*(1-K45))</f>
      </c>
      <c r="M46" s="2">
        <f>(1-((1-G46)*(1-H46)))</f>
      </c>
      <c r="N46" s="2">
        <f>MIN(1,((F46+M46)-((F46*M46)/2)))</f>
      </c>
      <c r="O46" s="2">
        <f>(O45*(1-N45))</f>
      </c>
      <c r="P46" s="2">
        <f>(L46*K46)</f>
      </c>
      <c r="Q46" s="2">
        <f>(L46*I46)</f>
      </c>
      <c r="R46" s="2">
        <f>(O46*I46)</f>
      </c>
      <c r="S46" s="2">
        <f>SUM(Q46:Q74)</f>
      </c>
      <c r="T46" s="2">
        <f>SUM(R46:R74)</f>
      </c>
      <c r="U46" s="2">
        <f>1</f>
      </c>
      <c r="V46" s="2">
        <f>((L46*K46)*J46)</f>
      </c>
      <c r="W46" s="2">
        <f>SUMPRODUCT(U46:U73,V46:V73)</f>
      </c>
      <c r="X46" s="2">
        <f>IF(Q46=0,0,((W46+(betaPrime*(S46-S74)))-(($BB$18*(T46-T23))*(D46&lt;=$BB$4)))/Q46)</f>
      </c>
      <c r="Y46" s="4">
        <f>ROUND((X46*100000),0)</f>
      </c>
      <c r="Z46" s="2">
        <f>(($BB$19*MAX((MIN($BB$4,7)-D46),0))/MIN($BB$4,7))</f>
      </c>
      <c r="AA46" s="2">
        <f>MAX((X46-Z46),0)</f>
      </c>
      <c r="AB46" s="2">
        <f>AA46</f>
      </c>
      <c r="AC46" s="2">
        <f>((MIN(D46,$BB$4)*k_freq)*$BB$14)</f>
      </c>
      <c r="AD46" s="2">
        <f>IF(AC46=0,0,AB46/AC46)</f>
      </c>
      <c r="AF46" s="2">
        <f>MIN(1,((F46+H46)-((F46*H46)/2)))</f>
      </c>
      <c r="AG46" s="2">
        <f>(AG45*(1-AF45))</f>
      </c>
      <c r="AH46" s="2">
        <f>(1-((1-H46)*(1-G46)))</f>
      </c>
      <c r="AI46" s="2">
        <f>MIN(1,((F46+AH46)-((F46*AH46)/2)))</f>
      </c>
      <c r="AJ46" s="2">
        <f>(AJ45*(1-AI45))</f>
      </c>
      <c r="AK46" s="2">
        <f>(AG46*H46)</f>
      </c>
      <c r="AL46" s="2">
        <f>(AG46*I46)</f>
      </c>
      <c r="AM46" s="2">
        <f>(AJ46*I46)</f>
      </c>
      <c r="AN46" s="2">
        <f>SUM(AL46:AL63)</f>
      </c>
      <c r="AO46" s="2">
        <f>SUM(AM46:AM63)</f>
      </c>
      <c r="AP46" s="2">
        <f>(1*IF((D46=0),(1-(3/12)),1))</f>
      </c>
      <c r="AQ46" s="2">
        <f>((AG46*H46)*J46)</f>
      </c>
      <c r="AR46" s="2">
        <f>SUMPRODUCT(AP46:AP62,AQ46:AQ62)</f>
      </c>
      <c r="AS46" s="2">
        <f>IF(AL46=0,0,((AR46+(betaPrime*(AN46-AN63)))-(($BC$18*(AO46-AO23))*(D46&lt;=$BC$4)))/AL46)</f>
      </c>
      <c r="AT46" s="4">
        <f>ROUND((AS46*100000),0)</f>
      </c>
      <c r="AU46" s="2">
        <f>(($BC$19*MAX((MIN($BC$4,7)-D46),0))/MIN($BC$4,7))</f>
      </c>
      <c r="AV46" s="2">
        <f>MAX((AS46-AU46),0)</f>
      </c>
      <c r="AW46" s="2">
        <f>AV46</f>
      </c>
      <c r="AX46" s="2">
        <f>((MIN(D46,$BC$4)*k_freq)*$BC$14)</f>
      </c>
      <c r="AY46" s="2">
        <f>IF(AX46=0,0,AW46/AX46)</f>
      </c>
    </row>
    <row r="47">
      <c r="D47" s="1">
        <v>44</v>
      </c>
      <c r="E47" s="1">
        <f>x_age+D47</f>
      </c>
      <c r="F47" s="3">
        <v>0.06905</v>
      </c>
      <c r="G47" s="3">
        <v>0.001805</v>
      </c>
      <c r="H47" s="3">
        <v>0.03965</v>
      </c>
      <c r="I47" s="3">
        <f>v_disc^(D47)</f>
      </c>
      <c r="J47" s="3">
        <f>v_disc^(D47+0.5)</f>
      </c>
      <c r="K47" s="2">
        <f>MIN(1,((F47+G47)-((F47*G47)/2)))</f>
      </c>
      <c r="L47" s="2">
        <f>(L46*(1-K46))</f>
      </c>
      <c r="M47" s="2">
        <f>(1-((1-G47)*(1-H47)))</f>
      </c>
      <c r="N47" s="2">
        <f>MIN(1,((F47+M47)-((F47*M47)/2)))</f>
      </c>
      <c r="O47" s="2">
        <f>(O46*(1-N46))</f>
      </c>
      <c r="P47" s="2">
        <f>(L47*K47)</f>
      </c>
      <c r="Q47" s="2">
        <f>(L47*I47)</f>
      </c>
      <c r="R47" s="2">
        <f>(O47*I47)</f>
      </c>
      <c r="S47" s="2">
        <f>SUM(Q47:Q74)</f>
      </c>
      <c r="T47" s="2">
        <f>SUM(R47:R74)</f>
      </c>
      <c r="U47" s="2">
        <f>1</f>
      </c>
      <c r="V47" s="2">
        <f>((L47*K47)*J47)</f>
      </c>
      <c r="W47" s="2">
        <f>SUMPRODUCT(U47:U73,V47:V73)</f>
      </c>
      <c r="X47" s="2">
        <f>IF(Q47=0,0,((W47+(betaPrime*(S47-S74)))-(($BB$18*(T47-T23))*(D47&lt;=$BB$4)))/Q47)</f>
      </c>
      <c r="Y47" s="4">
        <f>ROUND((X47*100000),0)</f>
      </c>
      <c r="Z47" s="2">
        <f>(($BB$19*MAX((MIN($BB$4,7)-D47),0))/MIN($BB$4,7))</f>
      </c>
      <c r="AA47" s="2">
        <f>MAX((X47-Z47),0)</f>
      </c>
      <c r="AB47" s="2">
        <f>AA47</f>
      </c>
      <c r="AC47" s="2">
        <f>((MIN(D47,$BB$4)*k_freq)*$BB$14)</f>
      </c>
      <c r="AD47" s="2">
        <f>IF(AC47=0,0,AB47/AC47)</f>
      </c>
      <c r="AF47" s="2">
        <f>MIN(1,((F47+H47)-((F47*H47)/2)))</f>
      </c>
      <c r="AG47" s="2">
        <f>(AG46*(1-AF46))</f>
      </c>
      <c r="AH47" s="2">
        <f>(1-((1-H47)*(1-G47)))</f>
      </c>
      <c r="AI47" s="2">
        <f>MIN(1,((F47+AH47)-((F47*AH47)/2)))</f>
      </c>
      <c r="AJ47" s="2">
        <f>(AJ46*(1-AI46))</f>
      </c>
      <c r="AK47" s="2">
        <f>(AG47*H47)</f>
      </c>
      <c r="AL47" s="2">
        <f>(AG47*I47)</f>
      </c>
      <c r="AM47" s="2">
        <f>(AJ47*I47)</f>
      </c>
      <c r="AN47" s="2">
        <f>SUM(AL47:AL63)</f>
      </c>
      <c r="AO47" s="2">
        <f>SUM(AM47:AM63)</f>
      </c>
      <c r="AP47" s="2">
        <f>(1*IF((D47=0),(1-(3/12)),1))</f>
      </c>
      <c r="AQ47" s="2">
        <f>((AG47*H47)*J47)</f>
      </c>
      <c r="AR47" s="2">
        <f>SUMPRODUCT(AP47:AP62,AQ47:AQ62)</f>
      </c>
      <c r="AS47" s="2">
        <f>IF(AL47=0,0,((AR47+(betaPrime*(AN47-AN63)))-(($BC$18*(AO47-AO23))*(D47&lt;=$BC$4)))/AL47)</f>
      </c>
      <c r="AT47" s="4">
        <f>ROUND((AS47*100000),0)</f>
      </c>
      <c r="AU47" s="2">
        <f>(($BC$19*MAX((MIN($BC$4,7)-D47),0))/MIN($BC$4,7))</f>
      </c>
      <c r="AV47" s="2">
        <f>MAX((AS47-AU47),0)</f>
      </c>
      <c r="AW47" s="2">
        <f>AV47</f>
      </c>
      <c r="AX47" s="2">
        <f>((MIN(D47,$BC$4)*k_freq)*$BC$14)</f>
      </c>
      <c r="AY47" s="2">
        <f>IF(AX47=0,0,AW47/AX47)</f>
      </c>
    </row>
    <row r="48">
      <c r="D48" s="1">
        <v>45</v>
      </c>
      <c r="E48" s="1">
        <f>x_age+D48</f>
      </c>
      <c r="F48" s="3">
        <v>0.07773</v>
      </c>
      <c r="G48" s="3">
        <v>0.00198</v>
      </c>
      <c r="H48" s="3">
        <v>0.039917</v>
      </c>
      <c r="I48" s="3">
        <f>v_disc^(D48)</f>
      </c>
      <c r="J48" s="3">
        <f>v_disc^(D48+0.5)</f>
      </c>
      <c r="K48" s="2">
        <f>MIN(1,((F48+G48)-((F48*G48)/2)))</f>
      </c>
      <c r="L48" s="2">
        <f>(L47*(1-K47))</f>
      </c>
      <c r="M48" s="2">
        <f>(1-((1-G48)*(1-H48)))</f>
      </c>
      <c r="N48" s="2">
        <f>MIN(1,((F48+M48)-((F48*M48)/2)))</f>
      </c>
      <c r="O48" s="2">
        <f>(O47*(1-N47))</f>
      </c>
      <c r="P48" s="2">
        <f>(L48*K48)</f>
      </c>
      <c r="Q48" s="2">
        <f>(L48*I48)</f>
      </c>
      <c r="R48" s="2">
        <f>(O48*I48)</f>
      </c>
      <c r="S48" s="2">
        <f>SUM(Q48:Q74)</f>
      </c>
      <c r="T48" s="2">
        <f>SUM(R48:R74)</f>
      </c>
      <c r="U48" s="2">
        <f>1</f>
      </c>
      <c r="V48" s="2">
        <f>((L48*K48)*J48)</f>
      </c>
      <c r="W48" s="2">
        <f>SUMPRODUCT(U48:U73,V48:V73)</f>
      </c>
      <c r="X48" s="2">
        <f>IF(Q48=0,0,((W48+(betaPrime*(S48-S74)))-(($BB$18*(T48-T23))*(D48&lt;=$BB$4)))/Q48)</f>
      </c>
      <c r="Y48" s="4">
        <f>ROUND((X48*100000),0)</f>
      </c>
      <c r="Z48" s="2">
        <f>(($BB$19*MAX((MIN($BB$4,7)-D48),0))/MIN($BB$4,7))</f>
      </c>
      <c r="AA48" s="2">
        <f>MAX((X48-Z48),0)</f>
      </c>
      <c r="AB48" s="2">
        <f>AA48</f>
      </c>
      <c r="AC48" s="2">
        <f>((MIN(D48,$BB$4)*k_freq)*$BB$14)</f>
      </c>
      <c r="AD48" s="2">
        <f>IF(AC48=0,0,AB48/AC48)</f>
      </c>
      <c r="AF48" s="2">
        <f>MIN(1,((F48+H48)-((F48*H48)/2)))</f>
      </c>
      <c r="AG48" s="2">
        <f>(AG47*(1-AF47))</f>
      </c>
      <c r="AH48" s="2">
        <f>(1-((1-H48)*(1-G48)))</f>
      </c>
      <c r="AI48" s="2">
        <f>MIN(1,((F48+AH48)-((F48*AH48)/2)))</f>
      </c>
      <c r="AJ48" s="2">
        <f>(AJ47*(1-AI47))</f>
      </c>
      <c r="AK48" s="2">
        <f>(AG48*H48)</f>
      </c>
      <c r="AL48" s="2">
        <f>(AG48*I48)</f>
      </c>
      <c r="AM48" s="2">
        <f>(AJ48*I48)</f>
      </c>
      <c r="AN48" s="2">
        <f>SUM(AL48:AL63)</f>
      </c>
      <c r="AO48" s="2">
        <f>SUM(AM48:AM63)</f>
      </c>
      <c r="AP48" s="2">
        <f>(1*IF((D48=0),(1-(3/12)),1))</f>
      </c>
      <c r="AQ48" s="2">
        <f>((AG48*H48)*J48)</f>
      </c>
      <c r="AR48" s="2">
        <f>SUMPRODUCT(AP48:AP62,AQ48:AQ62)</f>
      </c>
      <c r="AS48" s="2">
        <f>IF(AL48=0,0,((AR48+(betaPrime*(AN48-AN63)))-(($BC$18*(AO48-AO23))*(D48&lt;=$BC$4)))/AL48)</f>
      </c>
      <c r="AT48" s="4">
        <f>ROUND((AS48*100000),0)</f>
      </c>
      <c r="AU48" s="2">
        <f>(($BC$19*MAX((MIN($BC$4,7)-D48),0))/MIN($BC$4,7))</f>
      </c>
      <c r="AV48" s="2">
        <f>MAX((AS48-AU48),0)</f>
      </c>
      <c r="AW48" s="2">
        <f>AV48</f>
      </c>
      <c r="AX48" s="2">
        <f>((MIN(D48,$BC$4)*k_freq)*$BC$14)</f>
      </c>
      <c r="AY48" s="2">
        <f>IF(AX48=0,0,AW48/AX48)</f>
      </c>
    </row>
    <row r="49">
      <c r="D49" s="1">
        <v>46</v>
      </c>
      <c r="E49" s="1">
        <f>x_age+D49</f>
      </c>
      <c r="F49" s="3">
        <v>0.08722</v>
      </c>
      <c r="G49" s="3">
        <v>0.002224</v>
      </c>
      <c r="H49" s="3">
        <v>0.040088</v>
      </c>
      <c r="I49" s="3">
        <f>v_disc^(D49)</f>
      </c>
      <c r="J49" s="3">
        <f>v_disc^(D49+0.5)</f>
      </c>
      <c r="K49" s="2">
        <f>MIN(1,((F49+G49)-((F49*G49)/2)))</f>
      </c>
      <c r="L49" s="2">
        <f>(L48*(1-K48))</f>
      </c>
      <c r="M49" s="2">
        <f>(1-((1-G49)*(1-H49)))</f>
      </c>
      <c r="N49" s="2">
        <f>MIN(1,((F49+M49)-((F49*M49)/2)))</f>
      </c>
      <c r="O49" s="2">
        <f>(O48*(1-N48))</f>
      </c>
      <c r="P49" s="2">
        <f>(L49*K49)</f>
      </c>
      <c r="Q49" s="2">
        <f>(L49*I49)</f>
      </c>
      <c r="R49" s="2">
        <f>(O49*I49)</f>
      </c>
      <c r="S49" s="2">
        <f>SUM(Q49:Q74)</f>
      </c>
      <c r="T49" s="2">
        <f>SUM(R49:R74)</f>
      </c>
      <c r="U49" s="2">
        <f>1</f>
      </c>
      <c r="V49" s="2">
        <f>((L49*K49)*J49)</f>
      </c>
      <c r="W49" s="2">
        <f>SUMPRODUCT(U49:U73,V49:V73)</f>
      </c>
      <c r="X49" s="2">
        <f>IF(Q49=0,0,((W49+(betaPrime*(S49-S74)))-(($BB$18*(T49-T23))*(D49&lt;=$BB$4)))/Q49)</f>
      </c>
      <c r="Y49" s="4">
        <f>ROUND((X49*100000),0)</f>
      </c>
      <c r="Z49" s="2">
        <f>(($BB$19*MAX((MIN($BB$4,7)-D49),0))/MIN($BB$4,7))</f>
      </c>
      <c r="AA49" s="2">
        <f>MAX((X49-Z49),0)</f>
      </c>
      <c r="AB49" s="2">
        <f>AA49</f>
      </c>
      <c r="AC49" s="2">
        <f>((MIN(D49,$BB$4)*k_freq)*$BB$14)</f>
      </c>
      <c r="AD49" s="2">
        <f>IF(AC49=0,0,AB49/AC49)</f>
      </c>
      <c r="AF49" s="2">
        <f>MIN(1,((F49+H49)-((F49*H49)/2)))</f>
      </c>
      <c r="AG49" s="2">
        <f>(AG48*(1-AF48))</f>
      </c>
      <c r="AH49" s="2">
        <f>(1-((1-H49)*(1-G49)))</f>
      </c>
      <c r="AI49" s="2">
        <f>MIN(1,((F49+AH49)-((F49*AH49)/2)))</f>
      </c>
      <c r="AJ49" s="2">
        <f>(AJ48*(1-AI48))</f>
      </c>
      <c r="AK49" s="2">
        <f>(AG49*H49)</f>
      </c>
      <c r="AL49" s="2">
        <f>(AG49*I49)</f>
      </c>
      <c r="AM49" s="2">
        <f>(AJ49*I49)</f>
      </c>
      <c r="AN49" s="2">
        <f>SUM(AL49:AL63)</f>
      </c>
      <c r="AO49" s="2">
        <f>SUM(AM49:AM63)</f>
      </c>
      <c r="AP49" s="2">
        <f>(1*IF((D49=0),(1-(3/12)),1))</f>
      </c>
      <c r="AQ49" s="2">
        <f>((AG49*H49)*J49)</f>
      </c>
      <c r="AR49" s="2">
        <f>SUMPRODUCT(AP49:AP62,AQ49:AQ62)</f>
      </c>
      <c r="AS49" s="2">
        <f>IF(AL49=0,0,((AR49+(betaPrime*(AN49-AN63)))-(($BC$18*(AO49-AO23))*(D49&lt;=$BC$4)))/AL49)</f>
      </c>
      <c r="AT49" s="4">
        <f>ROUND((AS49*100000),0)</f>
      </c>
      <c r="AU49" s="2">
        <f>(($BC$19*MAX((MIN($BC$4,7)-D49),0))/MIN($BC$4,7))</f>
      </c>
      <c r="AV49" s="2">
        <f>MAX((AS49-AU49),0)</f>
      </c>
      <c r="AW49" s="2">
        <f>AV49</f>
      </c>
      <c r="AX49" s="2">
        <f>((MIN(D49,$BC$4)*k_freq)*$BC$14)</f>
      </c>
      <c r="AY49" s="2">
        <f>IF(AX49=0,0,AW49/AX49)</f>
      </c>
    </row>
    <row r="50">
      <c r="D50" s="1">
        <v>47</v>
      </c>
      <c r="E50" s="1">
        <f>x_age+D50</f>
      </c>
      <c r="F50" s="3">
        <v>0.09774</v>
      </c>
      <c r="G50" s="3">
        <v>0.002533</v>
      </c>
      <c r="H50" s="3">
        <v>0.040239</v>
      </c>
      <c r="I50" s="3">
        <f>v_disc^(D50)</f>
      </c>
      <c r="J50" s="3">
        <f>v_disc^(D50+0.5)</f>
      </c>
      <c r="K50" s="2">
        <f>MIN(1,((F50+G50)-((F50*G50)/2)))</f>
      </c>
      <c r="L50" s="2">
        <f>(L49*(1-K49))</f>
      </c>
      <c r="M50" s="2">
        <f>(1-((1-G50)*(1-H50)))</f>
      </c>
      <c r="N50" s="2">
        <f>MIN(1,((F50+M50)-((F50*M50)/2)))</f>
      </c>
      <c r="O50" s="2">
        <f>(O49*(1-N49))</f>
      </c>
      <c r="P50" s="2">
        <f>(L50*K50)</f>
      </c>
      <c r="Q50" s="2">
        <f>(L50*I50)</f>
      </c>
      <c r="R50" s="2">
        <f>(O50*I50)</f>
      </c>
      <c r="S50" s="2">
        <f>SUM(Q50:Q74)</f>
      </c>
      <c r="T50" s="2">
        <f>SUM(R50:R74)</f>
      </c>
      <c r="U50" s="2">
        <f>1</f>
      </c>
      <c r="V50" s="2">
        <f>((L50*K50)*J50)</f>
      </c>
      <c r="W50" s="2">
        <f>SUMPRODUCT(U50:U73,V50:V73)</f>
      </c>
      <c r="X50" s="2">
        <f>IF(Q50=0,0,((W50+(betaPrime*(S50-S74)))-(($BB$18*(T50-T23))*(D50&lt;=$BB$4)))/Q50)</f>
      </c>
      <c r="Y50" s="4">
        <f>ROUND((X50*100000),0)</f>
      </c>
      <c r="Z50" s="2">
        <f>(($BB$19*MAX((MIN($BB$4,7)-D50),0))/MIN($BB$4,7))</f>
      </c>
      <c r="AA50" s="2">
        <f>MAX((X50-Z50),0)</f>
      </c>
      <c r="AB50" s="2">
        <f>AA50</f>
      </c>
      <c r="AC50" s="2">
        <f>((MIN(D50,$BB$4)*k_freq)*$BB$14)</f>
      </c>
      <c r="AD50" s="2">
        <f>IF(AC50=0,0,AB50/AC50)</f>
      </c>
      <c r="AF50" s="2">
        <f>MIN(1,((F50+H50)-((F50*H50)/2)))</f>
      </c>
      <c r="AG50" s="2">
        <f>(AG49*(1-AF49))</f>
      </c>
      <c r="AH50" s="2">
        <f>(1-((1-H50)*(1-G50)))</f>
      </c>
      <c r="AI50" s="2">
        <f>MIN(1,((F50+AH50)-((F50*AH50)/2)))</f>
      </c>
      <c r="AJ50" s="2">
        <f>(AJ49*(1-AI49))</f>
      </c>
      <c r="AK50" s="2">
        <f>(AG50*H50)</f>
      </c>
      <c r="AL50" s="2">
        <f>(AG50*I50)</f>
      </c>
      <c r="AM50" s="2">
        <f>(AJ50*I50)</f>
      </c>
      <c r="AN50" s="2">
        <f>SUM(AL50:AL63)</f>
      </c>
      <c r="AO50" s="2">
        <f>SUM(AM50:AM63)</f>
      </c>
      <c r="AP50" s="2">
        <f>(1*IF((D50=0),(1-(3/12)),1))</f>
      </c>
      <c r="AQ50" s="2">
        <f>((AG50*H50)*J50)</f>
      </c>
      <c r="AR50" s="2">
        <f>SUMPRODUCT(AP50:AP62,AQ50:AQ62)</f>
      </c>
      <c r="AS50" s="2">
        <f>IF(AL50=0,0,((AR50+(betaPrime*(AN50-AN63)))-(($BC$18*(AO50-AO23))*(D50&lt;=$BC$4)))/AL50)</f>
      </c>
      <c r="AT50" s="4">
        <f>ROUND((AS50*100000),0)</f>
      </c>
      <c r="AU50" s="2">
        <f>(($BC$19*MAX((MIN($BC$4,7)-D50),0))/MIN($BC$4,7))</f>
      </c>
      <c r="AV50" s="2">
        <f>MAX((AS50-AU50),0)</f>
      </c>
      <c r="AW50" s="2">
        <f>AV50</f>
      </c>
      <c r="AX50" s="2">
        <f>((MIN(D50,$BC$4)*k_freq)*$BC$14)</f>
      </c>
      <c r="AY50" s="2">
        <f>IF(AX50=0,0,AW50/AX50)</f>
      </c>
    </row>
    <row r="51">
      <c r="D51" s="1">
        <v>48</v>
      </c>
      <c r="E51" s="1">
        <f>x_age+D51</f>
      </c>
      <c r="F51" s="3">
        <v>0.10926</v>
      </c>
      <c r="G51" s="3">
        <v>0.002891</v>
      </c>
      <c r="H51" s="3">
        <v>0.040361</v>
      </c>
      <c r="I51" s="3">
        <f>v_disc^(D51)</f>
      </c>
      <c r="J51" s="3">
        <f>v_disc^(D51+0.5)</f>
      </c>
      <c r="K51" s="2">
        <f>MIN(1,((F51+G51)-((F51*G51)/2)))</f>
      </c>
      <c r="L51" s="2">
        <f>(L50*(1-K50))</f>
      </c>
      <c r="M51" s="2">
        <f>(1-((1-G51)*(1-H51)))</f>
      </c>
      <c r="N51" s="2">
        <f>MIN(1,((F51+M51)-((F51*M51)/2)))</f>
      </c>
      <c r="O51" s="2">
        <f>(O50*(1-N50))</f>
      </c>
      <c r="P51" s="2">
        <f>(L51*K51)</f>
      </c>
      <c r="Q51" s="2">
        <f>(L51*I51)</f>
      </c>
      <c r="R51" s="2">
        <f>(O51*I51)</f>
      </c>
      <c r="S51" s="2">
        <f>SUM(Q51:Q74)</f>
      </c>
      <c r="T51" s="2">
        <f>SUM(R51:R74)</f>
      </c>
      <c r="U51" s="2">
        <f>1</f>
      </c>
      <c r="V51" s="2">
        <f>((L51*K51)*J51)</f>
      </c>
      <c r="W51" s="2">
        <f>SUMPRODUCT(U51:U73,V51:V73)</f>
      </c>
      <c r="X51" s="2">
        <f>IF(Q51=0,0,((W51+(betaPrime*(S51-S74)))-(($BB$18*(T51-T23))*(D51&lt;=$BB$4)))/Q51)</f>
      </c>
      <c r="Y51" s="4">
        <f>ROUND((X51*100000),0)</f>
      </c>
      <c r="Z51" s="2">
        <f>(($BB$19*MAX((MIN($BB$4,7)-D51),0))/MIN($BB$4,7))</f>
      </c>
      <c r="AA51" s="2">
        <f>MAX((X51-Z51),0)</f>
      </c>
      <c r="AB51" s="2">
        <f>AA51</f>
      </c>
      <c r="AC51" s="2">
        <f>((MIN(D51,$BB$4)*k_freq)*$BB$14)</f>
      </c>
      <c r="AD51" s="2">
        <f>IF(AC51=0,0,AB51/AC51)</f>
      </c>
      <c r="AF51" s="2">
        <f>MIN(1,((F51+H51)-((F51*H51)/2)))</f>
      </c>
      <c r="AG51" s="2">
        <f>(AG50*(1-AF50))</f>
      </c>
      <c r="AH51" s="2">
        <f>(1-((1-H51)*(1-G51)))</f>
      </c>
      <c r="AI51" s="2">
        <f>MIN(1,((F51+AH51)-((F51*AH51)/2)))</f>
      </c>
      <c r="AJ51" s="2">
        <f>(AJ50*(1-AI50))</f>
      </c>
      <c r="AK51" s="2">
        <f>(AG51*H51)</f>
      </c>
      <c r="AL51" s="2">
        <f>(AG51*I51)</f>
      </c>
      <c r="AM51" s="2">
        <f>(AJ51*I51)</f>
      </c>
      <c r="AN51" s="2">
        <f>SUM(AL51:AL63)</f>
      </c>
      <c r="AO51" s="2">
        <f>SUM(AM51:AM63)</f>
      </c>
      <c r="AP51" s="2">
        <f>(1*IF((D51=0),(1-(3/12)),1))</f>
      </c>
      <c r="AQ51" s="2">
        <f>((AG51*H51)*J51)</f>
      </c>
      <c r="AR51" s="2">
        <f>SUMPRODUCT(AP51:AP62,AQ51:AQ62)</f>
      </c>
      <c r="AS51" s="2">
        <f>IF(AL51=0,0,((AR51+(betaPrime*(AN51-AN63)))-(($BC$18*(AO51-AO23))*(D51&lt;=$BC$4)))/AL51)</f>
      </c>
      <c r="AT51" s="4">
        <f>ROUND((AS51*100000),0)</f>
      </c>
      <c r="AU51" s="2">
        <f>(($BC$19*MAX((MIN($BC$4,7)-D51),0))/MIN($BC$4,7))</f>
      </c>
      <c r="AV51" s="2">
        <f>MAX((AS51-AU51),0)</f>
      </c>
      <c r="AW51" s="2">
        <f>AV51</f>
      </c>
      <c r="AX51" s="2">
        <f>((MIN(D51,$BC$4)*k_freq)*$BC$14)</f>
      </c>
      <c r="AY51" s="2">
        <f>IF(AX51=0,0,AW51/AX51)</f>
      </c>
    </row>
    <row r="52">
      <c r="D52" s="1">
        <v>49</v>
      </c>
      <c r="E52" s="1">
        <f>x_age+D52</f>
      </c>
      <c r="F52" s="3">
        <v>0.12171</v>
      </c>
      <c r="G52" s="3">
        <v>0.003283</v>
      </c>
      <c r="H52" s="3">
        <v>0.040419</v>
      </c>
      <c r="I52" s="3">
        <f>v_disc^(D52)</f>
      </c>
      <c r="J52" s="3">
        <f>v_disc^(D52+0.5)</f>
      </c>
      <c r="K52" s="2">
        <f>MIN(1,((F52+G52)-((F52*G52)/2)))</f>
      </c>
      <c r="L52" s="2">
        <f>(L51*(1-K51))</f>
      </c>
      <c r="M52" s="2">
        <f>(1-((1-G52)*(1-H52)))</f>
      </c>
      <c r="N52" s="2">
        <f>MIN(1,((F52+M52)-((F52*M52)/2)))</f>
      </c>
      <c r="O52" s="2">
        <f>(O51*(1-N51))</f>
      </c>
      <c r="P52" s="2">
        <f>(L52*K52)</f>
      </c>
      <c r="Q52" s="2">
        <f>(L52*I52)</f>
      </c>
      <c r="R52" s="2">
        <f>(O52*I52)</f>
      </c>
      <c r="S52" s="2">
        <f>SUM(Q52:Q74)</f>
      </c>
      <c r="T52" s="2">
        <f>SUM(R52:R74)</f>
      </c>
      <c r="U52" s="2">
        <f>1</f>
      </c>
      <c r="V52" s="2">
        <f>((L52*K52)*J52)</f>
      </c>
      <c r="W52" s="2">
        <f>SUMPRODUCT(U52:U73,V52:V73)</f>
      </c>
      <c r="X52" s="2">
        <f>IF(Q52=0,0,((W52+(betaPrime*(S52-S74)))-(($BB$18*(T52-T23))*(D52&lt;=$BB$4)))/Q52)</f>
      </c>
      <c r="Y52" s="4">
        <f>ROUND((X52*100000),0)</f>
      </c>
      <c r="Z52" s="2">
        <f>(($BB$19*MAX((MIN($BB$4,7)-D52),0))/MIN($BB$4,7))</f>
      </c>
      <c r="AA52" s="2">
        <f>MAX((X52-Z52),0)</f>
      </c>
      <c r="AB52" s="2">
        <f>AA52</f>
      </c>
      <c r="AC52" s="2">
        <f>((MIN(D52,$BB$4)*k_freq)*$BB$14)</f>
      </c>
      <c r="AD52" s="2">
        <f>IF(AC52=0,0,AB52/AC52)</f>
      </c>
      <c r="AF52" s="2">
        <f>MIN(1,((F52+H52)-((F52*H52)/2)))</f>
      </c>
      <c r="AG52" s="2">
        <f>(AG51*(1-AF51))</f>
      </c>
      <c r="AH52" s="2">
        <f>(1-((1-H52)*(1-G52)))</f>
      </c>
      <c r="AI52" s="2">
        <f>MIN(1,((F52+AH52)-((F52*AH52)/2)))</f>
      </c>
      <c r="AJ52" s="2">
        <f>(AJ51*(1-AI51))</f>
      </c>
      <c r="AK52" s="2">
        <f>(AG52*H52)</f>
      </c>
      <c r="AL52" s="2">
        <f>(AG52*I52)</f>
      </c>
      <c r="AM52" s="2">
        <f>(AJ52*I52)</f>
      </c>
      <c r="AN52" s="2">
        <f>SUM(AL52:AL63)</f>
      </c>
      <c r="AO52" s="2">
        <f>SUM(AM52:AM63)</f>
      </c>
      <c r="AP52" s="2">
        <f>(1*IF((D52=0),(1-(3/12)),1))</f>
      </c>
      <c r="AQ52" s="2">
        <f>((AG52*H52)*J52)</f>
      </c>
      <c r="AR52" s="2">
        <f>SUMPRODUCT(AP52:AP62,AQ52:AQ62)</f>
      </c>
      <c r="AS52" s="2">
        <f>IF(AL52=0,0,((AR52+(betaPrime*(AN52-AN63)))-(($BC$18*(AO52-AO23))*(D52&lt;=$BC$4)))/AL52)</f>
      </c>
      <c r="AT52" s="4">
        <f>ROUND((AS52*100000),0)</f>
      </c>
      <c r="AU52" s="2">
        <f>(($BC$19*MAX((MIN($BC$4,7)-D52),0))/MIN($BC$4,7))</f>
      </c>
      <c r="AV52" s="2">
        <f>MAX((AS52-AU52),0)</f>
      </c>
      <c r="AW52" s="2">
        <f>AV52</f>
      </c>
      <c r="AX52" s="2">
        <f>((MIN(D52,$BC$4)*k_freq)*$BC$14)</f>
      </c>
      <c r="AY52" s="2">
        <f>IF(AX52=0,0,AW52/AX52)</f>
      </c>
    </row>
    <row r="53">
      <c r="D53" s="1">
        <v>50</v>
      </c>
      <c r="E53" s="1">
        <f>x_age+D53</f>
      </c>
      <c r="F53" s="3">
        <v>0.1351</v>
      </c>
      <c r="G53" s="3">
        <v>0.003702</v>
      </c>
      <c r="H53" s="3">
        <v>0.040439</v>
      </c>
      <c r="I53" s="3">
        <f>v_disc^(D53)</f>
      </c>
      <c r="J53" s="3">
        <f>v_disc^(D53+0.5)</f>
      </c>
      <c r="K53" s="2">
        <f>MIN(1,((F53+G53)-((F53*G53)/2)))</f>
      </c>
      <c r="L53" s="2">
        <f>(L52*(1-K52))</f>
      </c>
      <c r="M53" s="2">
        <f>(1-((1-G53)*(1-H53)))</f>
      </c>
      <c r="N53" s="2">
        <f>MIN(1,((F53+M53)-((F53*M53)/2)))</f>
      </c>
      <c r="O53" s="2">
        <f>(O52*(1-N52))</f>
      </c>
      <c r="P53" s="2">
        <f>(L53*K53)</f>
      </c>
      <c r="Q53" s="2">
        <f>(L53*I53)</f>
      </c>
      <c r="R53" s="2">
        <f>(O53*I53)</f>
      </c>
      <c r="S53" s="2">
        <f>SUM(Q53:Q74)</f>
      </c>
      <c r="T53" s="2">
        <f>SUM(R53:R74)</f>
      </c>
      <c r="U53" s="2">
        <f>1</f>
      </c>
      <c r="V53" s="2">
        <f>((L53*K53)*J53)</f>
      </c>
      <c r="W53" s="2">
        <f>SUMPRODUCT(U53:U73,V53:V73)</f>
      </c>
      <c r="X53" s="2">
        <f>IF(Q53=0,0,((W53+(betaPrime*(S53-S74)))-(($BB$18*(T53-T23))*(D53&lt;=$BB$4)))/Q53)</f>
      </c>
      <c r="Y53" s="4">
        <f>ROUND((X53*100000),0)</f>
      </c>
      <c r="Z53" s="2">
        <f>(($BB$19*MAX((MIN($BB$4,7)-D53),0))/MIN($BB$4,7))</f>
      </c>
      <c r="AA53" s="2">
        <f>MAX((X53-Z53),0)</f>
      </c>
      <c r="AB53" s="2">
        <f>AA53</f>
      </c>
      <c r="AC53" s="2">
        <f>((MIN(D53,$BB$4)*k_freq)*$BB$14)</f>
      </c>
      <c r="AD53" s="2">
        <f>IF(AC53=0,0,AB53/AC53)</f>
      </c>
      <c r="AF53" s="2">
        <f>MIN(1,((F53+H53)-((F53*H53)/2)))</f>
      </c>
      <c r="AG53" s="2">
        <f>(AG52*(1-AF52))</f>
      </c>
      <c r="AH53" s="2">
        <f>(1-((1-H53)*(1-G53)))</f>
      </c>
      <c r="AI53" s="2">
        <f>MIN(1,((F53+AH53)-((F53*AH53)/2)))</f>
      </c>
      <c r="AJ53" s="2">
        <f>(AJ52*(1-AI52))</f>
      </c>
      <c r="AK53" s="2">
        <f>(AG53*H53)</f>
      </c>
      <c r="AL53" s="2">
        <f>(AG53*I53)</f>
      </c>
      <c r="AM53" s="2">
        <f>(AJ53*I53)</f>
      </c>
      <c r="AN53" s="2">
        <f>SUM(AL53:AL63)</f>
      </c>
      <c r="AO53" s="2">
        <f>SUM(AM53:AM63)</f>
      </c>
      <c r="AP53" s="2">
        <f>(1*IF((D53=0),(1-(3/12)),1))</f>
      </c>
      <c r="AQ53" s="2">
        <f>((AG53*H53)*J53)</f>
      </c>
      <c r="AR53" s="2">
        <f>SUMPRODUCT(AP53:AP62,AQ53:AQ62)</f>
      </c>
      <c r="AS53" s="2">
        <f>IF(AL53=0,0,((AR53+(betaPrime*(AN53-AN63)))-(($BC$18*(AO53-AO23))*(D53&lt;=$BC$4)))/AL53)</f>
      </c>
      <c r="AT53" s="4">
        <f>ROUND((AS53*100000),0)</f>
      </c>
      <c r="AU53" s="2">
        <f>(($BC$19*MAX((MIN($BC$4,7)-D53),0))/MIN($BC$4,7))</f>
      </c>
      <c r="AV53" s="2">
        <f>MAX((AS53-AU53),0)</f>
      </c>
      <c r="AW53" s="2">
        <f>AV53</f>
      </c>
      <c r="AX53" s="2">
        <f>((MIN(D53,$BC$4)*k_freq)*$BC$14)</f>
      </c>
      <c r="AY53" s="2">
        <f>IF(AX53=0,0,AW53/AX53)</f>
      </c>
    </row>
    <row r="54">
      <c r="D54" s="1">
        <v>51</v>
      </c>
      <c r="E54" s="1">
        <f>x_age+D54</f>
      </c>
      <c r="F54" s="3">
        <v>0.14969</v>
      </c>
      <c r="G54" s="3">
        <v>0.004139</v>
      </c>
      <c r="H54" s="3">
        <v>0.040446</v>
      </c>
      <c r="I54" s="3">
        <f>v_disc^(D54)</f>
      </c>
      <c r="J54" s="3">
        <f>v_disc^(D54+0.5)</f>
      </c>
      <c r="K54" s="2">
        <f>MIN(1,((F54+G54)-((F54*G54)/2)))</f>
      </c>
      <c r="L54" s="2">
        <f>(L53*(1-K53))</f>
      </c>
      <c r="M54" s="2">
        <f>(1-((1-G54)*(1-H54)))</f>
      </c>
      <c r="N54" s="2">
        <f>MIN(1,((F54+M54)-((F54*M54)/2)))</f>
      </c>
      <c r="O54" s="2">
        <f>(O53*(1-N53))</f>
      </c>
      <c r="P54" s="2">
        <f>(L54*K54)</f>
      </c>
      <c r="Q54" s="2">
        <f>(L54*I54)</f>
      </c>
      <c r="R54" s="2">
        <f>(O54*I54)</f>
      </c>
      <c r="S54" s="2">
        <f>SUM(Q54:Q74)</f>
      </c>
      <c r="T54" s="2">
        <f>SUM(R54:R74)</f>
      </c>
      <c r="U54" s="2">
        <f>1</f>
      </c>
      <c r="V54" s="2">
        <f>((L54*K54)*J54)</f>
      </c>
      <c r="W54" s="2">
        <f>SUMPRODUCT(U54:U73,V54:V73)</f>
      </c>
      <c r="X54" s="2">
        <f>IF(Q54=0,0,((W54+(betaPrime*(S54-S74)))-(($BB$18*(T54-T23))*(D54&lt;=$BB$4)))/Q54)</f>
      </c>
      <c r="Y54" s="4">
        <f>ROUND((X54*100000),0)</f>
      </c>
      <c r="Z54" s="2">
        <f>(($BB$19*MAX((MIN($BB$4,7)-D54),0))/MIN($BB$4,7))</f>
      </c>
      <c r="AA54" s="2">
        <f>MAX((X54-Z54),0)</f>
      </c>
      <c r="AB54" s="2">
        <f>AA54</f>
      </c>
      <c r="AC54" s="2">
        <f>((MIN(D54,$BB$4)*k_freq)*$BB$14)</f>
      </c>
      <c r="AD54" s="2">
        <f>IF(AC54=0,0,AB54/AC54)</f>
      </c>
      <c r="AF54" s="2">
        <f>MIN(1,((F54+H54)-((F54*H54)/2)))</f>
      </c>
      <c r="AG54" s="2">
        <f>(AG53*(1-AF53))</f>
      </c>
      <c r="AH54" s="2">
        <f>(1-((1-H54)*(1-G54)))</f>
      </c>
      <c r="AI54" s="2">
        <f>MIN(1,((F54+AH54)-((F54*AH54)/2)))</f>
      </c>
      <c r="AJ54" s="2">
        <f>(AJ53*(1-AI53))</f>
      </c>
      <c r="AK54" s="2">
        <f>(AG54*H54)</f>
      </c>
      <c r="AL54" s="2">
        <f>(AG54*I54)</f>
      </c>
      <c r="AM54" s="2">
        <f>(AJ54*I54)</f>
      </c>
      <c r="AN54" s="2">
        <f>SUM(AL54:AL63)</f>
      </c>
      <c r="AO54" s="2">
        <f>SUM(AM54:AM63)</f>
      </c>
      <c r="AP54" s="2">
        <f>(1*IF((D54=0),(1-(3/12)),1))</f>
      </c>
      <c r="AQ54" s="2">
        <f>((AG54*H54)*J54)</f>
      </c>
      <c r="AR54" s="2">
        <f>SUMPRODUCT(AP54:AP62,AQ54:AQ62)</f>
      </c>
      <c r="AS54" s="2">
        <f>IF(AL54=0,0,((AR54+(betaPrime*(AN54-AN63)))-(($BC$18*(AO54-AO23))*(D54&lt;=$BC$4)))/AL54)</f>
      </c>
      <c r="AT54" s="4">
        <f>ROUND((AS54*100000),0)</f>
      </c>
      <c r="AU54" s="2">
        <f>(($BC$19*MAX((MIN($BC$4,7)-D54),0))/MIN($BC$4,7))</f>
      </c>
      <c r="AV54" s="2">
        <f>MAX((AS54-AU54),0)</f>
      </c>
      <c r="AW54" s="2">
        <f>AV54</f>
      </c>
      <c r="AX54" s="2">
        <f>((MIN(D54,$BC$4)*k_freq)*$BC$14)</f>
      </c>
      <c r="AY54" s="2">
        <f>IF(AX54=0,0,AW54/AX54)</f>
      </c>
    </row>
    <row r="55">
      <c r="D55" s="1">
        <v>52</v>
      </c>
      <c r="E55" s="1">
        <f>x_age+D55</f>
      </c>
      <c r="F55" s="3">
        <v>0.16591</v>
      </c>
      <c r="G55" s="3">
        <v>0.00458</v>
      </c>
      <c r="H55" s="3">
        <v>0.040455</v>
      </c>
      <c r="I55" s="3">
        <f>v_disc^(D55)</f>
      </c>
      <c r="J55" s="3">
        <f>v_disc^(D55+0.5)</f>
      </c>
      <c r="K55" s="2">
        <f>MIN(1,((F55+G55)-((F55*G55)/2)))</f>
      </c>
      <c r="L55" s="2">
        <f>(L54*(1-K54))</f>
      </c>
      <c r="M55" s="2">
        <f>(1-((1-G55)*(1-H55)))</f>
      </c>
      <c r="N55" s="2">
        <f>MIN(1,((F55+M55)-((F55*M55)/2)))</f>
      </c>
      <c r="O55" s="2">
        <f>(O54*(1-N54))</f>
      </c>
      <c r="P55" s="2">
        <f>(L55*K55)</f>
      </c>
      <c r="Q55" s="2">
        <f>(L55*I55)</f>
      </c>
      <c r="R55" s="2">
        <f>(O55*I55)</f>
      </c>
      <c r="S55" s="2">
        <f>SUM(Q55:Q74)</f>
      </c>
      <c r="T55" s="2">
        <f>SUM(R55:R74)</f>
      </c>
      <c r="U55" s="2">
        <f>1</f>
      </c>
      <c r="V55" s="2">
        <f>((L55*K55)*J55)</f>
      </c>
      <c r="W55" s="2">
        <f>SUMPRODUCT(U55:U73,V55:V73)</f>
      </c>
      <c r="X55" s="2">
        <f>IF(Q55=0,0,((W55+(betaPrime*(S55-S74)))-(($BB$18*(T55-T23))*(D55&lt;=$BB$4)))/Q55)</f>
      </c>
      <c r="Y55" s="4">
        <f>ROUND((X55*100000),0)</f>
      </c>
      <c r="Z55" s="2">
        <f>(($BB$19*MAX((MIN($BB$4,7)-D55),0))/MIN($BB$4,7))</f>
      </c>
      <c r="AA55" s="2">
        <f>MAX((X55-Z55),0)</f>
      </c>
      <c r="AB55" s="2">
        <f>AA55</f>
      </c>
      <c r="AC55" s="2">
        <f>((MIN(D55,$BB$4)*k_freq)*$BB$14)</f>
      </c>
      <c r="AD55" s="2">
        <f>IF(AC55=0,0,AB55/AC55)</f>
      </c>
      <c r="AF55" s="2">
        <f>MIN(1,((F55+H55)-((F55*H55)/2)))</f>
      </c>
      <c r="AG55" s="2">
        <f>(AG54*(1-AF54))</f>
      </c>
      <c r="AH55" s="2">
        <f>(1-((1-H55)*(1-G55)))</f>
      </c>
      <c r="AI55" s="2">
        <f>MIN(1,((F55+AH55)-((F55*AH55)/2)))</f>
      </c>
      <c r="AJ55" s="2">
        <f>(AJ54*(1-AI54))</f>
      </c>
      <c r="AK55" s="2">
        <f>(AG55*H55)</f>
      </c>
      <c r="AL55" s="2">
        <f>(AG55*I55)</f>
      </c>
      <c r="AM55" s="2">
        <f>(AJ55*I55)</f>
      </c>
      <c r="AN55" s="2">
        <f>SUM(AL55:AL63)</f>
      </c>
      <c r="AO55" s="2">
        <f>SUM(AM55:AM63)</f>
      </c>
      <c r="AP55" s="2">
        <f>(1*IF((D55=0),(1-(3/12)),1))</f>
      </c>
      <c r="AQ55" s="2">
        <f>((AG55*H55)*J55)</f>
      </c>
      <c r="AR55" s="2">
        <f>SUMPRODUCT(AP55:AP62,AQ55:AQ62)</f>
      </c>
      <c r="AS55" s="2">
        <f>IF(AL55=0,0,((AR55+(betaPrime*(AN55-AN63)))-(($BC$18*(AO55-AO23))*(D55&lt;=$BC$4)))/AL55)</f>
      </c>
      <c r="AT55" s="4">
        <f>ROUND((AS55*100000),0)</f>
      </c>
      <c r="AU55" s="2">
        <f>(($BC$19*MAX((MIN($BC$4,7)-D55),0))/MIN($BC$4,7))</f>
      </c>
      <c r="AV55" s="2">
        <f>MAX((AS55-AU55),0)</f>
      </c>
      <c r="AW55" s="2">
        <f>AV55</f>
      </c>
      <c r="AX55" s="2">
        <f>((MIN(D55,$BC$4)*k_freq)*$BC$14)</f>
      </c>
      <c r="AY55" s="2">
        <f>IF(AX55=0,0,AW55/AX55)</f>
      </c>
    </row>
    <row r="56">
      <c r="D56" s="1">
        <v>53</v>
      </c>
      <c r="E56" s="1">
        <f>x_age+D56</f>
      </c>
      <c r="F56" s="3">
        <v>0.18379</v>
      </c>
      <c r="G56" s="3">
        <v>0.005006</v>
      </c>
      <c r="H56" s="3">
        <v>0.040466</v>
      </c>
      <c r="I56" s="3">
        <f>v_disc^(D56)</f>
      </c>
      <c r="J56" s="3">
        <f>v_disc^(D56+0.5)</f>
      </c>
      <c r="K56" s="2">
        <f>MIN(1,((F56+G56)-((F56*G56)/2)))</f>
      </c>
      <c r="L56" s="2">
        <f>(L55*(1-K55))</f>
      </c>
      <c r="M56" s="2">
        <f>(1-((1-G56)*(1-H56)))</f>
      </c>
      <c r="N56" s="2">
        <f>MIN(1,((F56+M56)-((F56*M56)/2)))</f>
      </c>
      <c r="O56" s="2">
        <f>(O55*(1-N55))</f>
      </c>
      <c r="P56" s="2">
        <f>(L56*K56)</f>
      </c>
      <c r="Q56" s="2">
        <f>(L56*I56)</f>
      </c>
      <c r="R56" s="2">
        <f>(O56*I56)</f>
      </c>
      <c r="S56" s="2">
        <f>SUM(Q56:Q74)</f>
      </c>
      <c r="T56" s="2">
        <f>SUM(R56:R74)</f>
      </c>
      <c r="U56" s="2">
        <f>1</f>
      </c>
      <c r="V56" s="2">
        <f>((L56*K56)*J56)</f>
      </c>
      <c r="W56" s="2">
        <f>SUMPRODUCT(U56:U73,V56:V73)</f>
      </c>
      <c r="X56" s="2">
        <f>IF(Q56=0,0,((W56+(betaPrime*(S56-S74)))-(($BB$18*(T56-T23))*(D56&lt;=$BB$4)))/Q56)</f>
      </c>
      <c r="Y56" s="4">
        <f>ROUND((X56*100000),0)</f>
      </c>
      <c r="Z56" s="2">
        <f>(($BB$19*MAX((MIN($BB$4,7)-D56),0))/MIN($BB$4,7))</f>
      </c>
      <c r="AA56" s="2">
        <f>MAX((X56-Z56),0)</f>
      </c>
      <c r="AB56" s="2">
        <f>AA56</f>
      </c>
      <c r="AC56" s="2">
        <f>((MIN(D56,$BB$4)*k_freq)*$BB$14)</f>
      </c>
      <c r="AD56" s="2">
        <f>IF(AC56=0,0,AB56/AC56)</f>
      </c>
      <c r="AF56" s="2">
        <f>MIN(1,((F56+H56)-((F56*H56)/2)))</f>
      </c>
      <c r="AG56" s="2">
        <f>(AG55*(1-AF55))</f>
      </c>
      <c r="AH56" s="2">
        <f>(1-((1-H56)*(1-G56)))</f>
      </c>
      <c r="AI56" s="2">
        <f>MIN(1,((F56+AH56)-((F56*AH56)/2)))</f>
      </c>
      <c r="AJ56" s="2">
        <f>(AJ55*(1-AI55))</f>
      </c>
      <c r="AK56" s="2">
        <f>(AG56*H56)</f>
      </c>
      <c r="AL56" s="2">
        <f>(AG56*I56)</f>
      </c>
      <c r="AM56" s="2">
        <f>(AJ56*I56)</f>
      </c>
      <c r="AN56" s="2">
        <f>SUM(AL56:AL63)</f>
      </c>
      <c r="AO56" s="2">
        <f>SUM(AM56:AM63)</f>
      </c>
      <c r="AP56" s="2">
        <f>(1*IF((D56=0),(1-(3/12)),1))</f>
      </c>
      <c r="AQ56" s="2">
        <f>((AG56*H56)*J56)</f>
      </c>
      <c r="AR56" s="2">
        <f>SUMPRODUCT(AP56:AP62,AQ56:AQ62)</f>
      </c>
      <c r="AS56" s="2">
        <f>IF(AL56=0,0,((AR56+(betaPrime*(AN56-AN63)))-(($BC$18*(AO56-AO23))*(D56&lt;=$BC$4)))/AL56)</f>
      </c>
      <c r="AT56" s="4">
        <f>ROUND((AS56*100000),0)</f>
      </c>
      <c r="AU56" s="2">
        <f>(($BC$19*MAX((MIN($BC$4,7)-D56),0))/MIN($BC$4,7))</f>
      </c>
      <c r="AV56" s="2">
        <f>MAX((AS56-AU56),0)</f>
      </c>
      <c r="AW56" s="2">
        <f>AV56</f>
      </c>
      <c r="AX56" s="2">
        <f>((MIN(D56,$BC$4)*k_freq)*$BC$14)</f>
      </c>
      <c r="AY56" s="2">
        <f>IF(AX56=0,0,AW56/AX56)</f>
      </c>
    </row>
    <row r="57">
      <c r="D57" s="1">
        <v>54</v>
      </c>
      <c r="E57" s="1">
        <f>x_age+D57</f>
      </c>
      <c r="F57" s="3">
        <v>0.20317</v>
      </c>
      <c r="G57" s="3">
        <v>0.005402</v>
      </c>
      <c r="H57" s="3">
        <v>0.04047</v>
      </c>
      <c r="I57" s="3">
        <f>v_disc^(D57)</f>
      </c>
      <c r="J57" s="3">
        <f>v_disc^(D57+0.5)</f>
      </c>
      <c r="K57" s="2">
        <f>MIN(1,((F57+G57)-((F57*G57)/2)))</f>
      </c>
      <c r="L57" s="2">
        <f>(L56*(1-K56))</f>
      </c>
      <c r="M57" s="2">
        <f>(1-((1-G57)*(1-H57)))</f>
      </c>
      <c r="N57" s="2">
        <f>MIN(1,((F57+M57)-((F57*M57)/2)))</f>
      </c>
      <c r="O57" s="2">
        <f>(O56*(1-N56))</f>
      </c>
      <c r="P57" s="2">
        <f>(L57*K57)</f>
      </c>
      <c r="Q57" s="2">
        <f>(L57*I57)</f>
      </c>
      <c r="R57" s="2">
        <f>(O57*I57)</f>
      </c>
      <c r="S57" s="2">
        <f>SUM(Q57:Q74)</f>
      </c>
      <c r="T57" s="2">
        <f>SUM(R57:R74)</f>
      </c>
      <c r="U57" s="2">
        <f>1</f>
      </c>
      <c r="V57" s="2">
        <f>((L57*K57)*J57)</f>
      </c>
      <c r="W57" s="2">
        <f>SUMPRODUCT(U57:U73,V57:V73)</f>
      </c>
      <c r="X57" s="2">
        <f>IF(Q57=0,0,((W57+(betaPrime*(S57-S74)))-(($BB$18*(T57-T23))*(D57&lt;=$BB$4)))/Q57)</f>
      </c>
      <c r="Y57" s="4">
        <f>ROUND((X57*100000),0)</f>
      </c>
      <c r="Z57" s="2">
        <f>(($BB$19*MAX((MIN($BB$4,7)-D57),0))/MIN($BB$4,7))</f>
      </c>
      <c r="AA57" s="2">
        <f>MAX((X57-Z57),0)</f>
      </c>
      <c r="AB57" s="2">
        <f>AA57</f>
      </c>
      <c r="AC57" s="2">
        <f>((MIN(D57,$BB$4)*k_freq)*$BB$14)</f>
      </c>
      <c r="AD57" s="2">
        <f>IF(AC57=0,0,AB57/AC57)</f>
      </c>
      <c r="AF57" s="2">
        <f>MIN(1,((F57+H57)-((F57*H57)/2)))</f>
      </c>
      <c r="AG57" s="2">
        <f>(AG56*(1-AF56))</f>
      </c>
      <c r="AH57" s="2">
        <f>(1-((1-H57)*(1-G57)))</f>
      </c>
      <c r="AI57" s="2">
        <f>MIN(1,((F57+AH57)-((F57*AH57)/2)))</f>
      </c>
      <c r="AJ57" s="2">
        <f>(AJ56*(1-AI56))</f>
      </c>
      <c r="AK57" s="2">
        <f>(AG57*H57)</f>
      </c>
      <c r="AL57" s="2">
        <f>(AG57*I57)</f>
      </c>
      <c r="AM57" s="2">
        <f>(AJ57*I57)</f>
      </c>
      <c r="AN57" s="2">
        <f>SUM(AL57:AL63)</f>
      </c>
      <c r="AO57" s="2">
        <f>SUM(AM57:AM63)</f>
      </c>
      <c r="AP57" s="2">
        <f>(1*IF((D57=0),(1-(3/12)),1))</f>
      </c>
      <c r="AQ57" s="2">
        <f>((AG57*H57)*J57)</f>
      </c>
      <c r="AR57" s="2">
        <f>SUMPRODUCT(AP57:AP62,AQ57:AQ62)</f>
      </c>
      <c r="AS57" s="2">
        <f>IF(AL57=0,0,((AR57+(betaPrime*(AN57-AN63)))-(($BC$18*(AO57-AO23))*(D57&lt;=$BC$4)))/AL57)</f>
      </c>
      <c r="AT57" s="4">
        <f>ROUND((AS57*100000),0)</f>
      </c>
      <c r="AU57" s="2">
        <f>(($BC$19*MAX((MIN($BC$4,7)-D57),0))/MIN($BC$4,7))</f>
      </c>
      <c r="AV57" s="2">
        <f>MAX((AS57-AU57),0)</f>
      </c>
      <c r="AW57" s="2">
        <f>AV57</f>
      </c>
      <c r="AX57" s="2">
        <f>((MIN(D57,$BC$4)*k_freq)*$BC$14)</f>
      </c>
      <c r="AY57" s="2">
        <f>IF(AX57=0,0,AW57/AX57)</f>
      </c>
    </row>
    <row r="58">
      <c r="D58" s="1">
        <v>55</v>
      </c>
      <c r="E58" s="1">
        <f>x_age+D58</f>
      </c>
      <c r="F58" s="3">
        <v>0.22392</v>
      </c>
      <c r="G58" s="3">
        <v>0.005759</v>
      </c>
      <c r="H58" s="3">
        <v>0.040472</v>
      </c>
      <c r="I58" s="3">
        <f>v_disc^(D58)</f>
      </c>
      <c r="J58" s="3">
        <f>v_disc^(D58+0.5)</f>
      </c>
      <c r="K58" s="2">
        <f>MIN(1,((F58+G58)-((F58*G58)/2)))</f>
      </c>
      <c r="L58" s="2">
        <f>(L57*(1-K57))</f>
      </c>
      <c r="M58" s="2">
        <f>(1-((1-G58)*(1-H58)))</f>
      </c>
      <c r="N58" s="2">
        <f>MIN(1,((F58+M58)-((F58*M58)/2)))</f>
      </c>
      <c r="O58" s="2">
        <f>(O57*(1-N57))</f>
      </c>
      <c r="P58" s="2">
        <f>(L58*K58)</f>
      </c>
      <c r="Q58" s="2">
        <f>(L58*I58)</f>
      </c>
      <c r="R58" s="2">
        <f>(O58*I58)</f>
      </c>
      <c r="S58" s="2">
        <f>SUM(Q58:Q74)</f>
      </c>
      <c r="T58" s="2">
        <f>SUM(R58:R74)</f>
      </c>
      <c r="U58" s="2">
        <f>1</f>
      </c>
      <c r="V58" s="2">
        <f>((L58*K58)*J58)</f>
      </c>
      <c r="W58" s="2">
        <f>SUMPRODUCT(U58:U73,V58:V73)</f>
      </c>
      <c r="X58" s="2">
        <f>IF(Q58=0,0,((W58+(betaPrime*(S58-S74)))-(($BB$18*(T58-T23))*(D58&lt;=$BB$4)))/Q58)</f>
      </c>
      <c r="Y58" s="4">
        <f>ROUND((X58*100000),0)</f>
      </c>
      <c r="Z58" s="2">
        <f>(($BB$19*MAX((MIN($BB$4,7)-D58),0))/MIN($BB$4,7))</f>
      </c>
      <c r="AA58" s="2">
        <f>MAX((X58-Z58),0)</f>
      </c>
      <c r="AB58" s="2">
        <f>AA58</f>
      </c>
      <c r="AC58" s="2">
        <f>((MIN(D58,$BB$4)*k_freq)*$BB$14)</f>
      </c>
      <c r="AD58" s="2">
        <f>IF(AC58=0,0,AB58/AC58)</f>
      </c>
      <c r="AF58" s="2">
        <f>MIN(1,((F58+H58)-((F58*H58)/2)))</f>
      </c>
      <c r="AG58" s="2">
        <f>(AG57*(1-AF57))</f>
      </c>
      <c r="AH58" s="2">
        <f>(1-((1-H58)*(1-G58)))</f>
      </c>
      <c r="AI58" s="2">
        <f>MIN(1,((F58+AH58)-((F58*AH58)/2)))</f>
      </c>
      <c r="AJ58" s="2">
        <f>(AJ57*(1-AI57))</f>
      </c>
      <c r="AK58" s="2">
        <f>(AG58*H58)</f>
      </c>
      <c r="AL58" s="2">
        <f>(AG58*I58)</f>
      </c>
      <c r="AM58" s="2">
        <f>(AJ58*I58)</f>
      </c>
      <c r="AN58" s="2">
        <f>SUM(AL58:AL63)</f>
      </c>
      <c r="AO58" s="2">
        <f>SUM(AM58:AM63)</f>
      </c>
      <c r="AP58" s="2">
        <f>(1*IF((D58=0),(1-(3/12)),1))</f>
      </c>
      <c r="AQ58" s="2">
        <f>((AG58*H58)*J58)</f>
      </c>
      <c r="AR58" s="2">
        <f>SUMPRODUCT(AP58:AP62,AQ58:AQ62)</f>
      </c>
      <c r="AS58" s="2">
        <f>IF(AL58=0,0,((AR58+(betaPrime*(AN58-AN63)))-(($BC$18*(AO58-AO23))*(D58&lt;=$BC$4)))/AL58)</f>
      </c>
      <c r="AT58" s="4">
        <f>ROUND((AS58*100000),0)</f>
      </c>
      <c r="AU58" s="2">
        <f>(($BC$19*MAX((MIN($BC$4,7)-D58),0))/MIN($BC$4,7))</f>
      </c>
      <c r="AV58" s="2">
        <f>MAX((AS58-AU58),0)</f>
      </c>
      <c r="AW58" s="2">
        <f>AV58</f>
      </c>
      <c r="AX58" s="2">
        <f>((MIN(D58,$BC$4)*k_freq)*$BC$14)</f>
      </c>
      <c r="AY58" s="2">
        <f>IF(AX58=0,0,AW58/AX58)</f>
      </c>
    </row>
    <row r="59">
      <c r="D59" s="1">
        <v>56</v>
      </c>
      <c r="E59" s="1">
        <f>x_age+D59</f>
      </c>
      <c r="F59" s="3">
        <v>0.24623</v>
      </c>
      <c r="G59" s="3">
        <v>0.006077</v>
      </c>
      <c r="H59" s="3">
        <v>0.040473</v>
      </c>
      <c r="I59" s="3">
        <f>v_disc^(D59)</f>
      </c>
      <c r="J59" s="3">
        <f>v_disc^(D59+0.5)</f>
      </c>
      <c r="K59" s="2">
        <f>MIN(1,((F59+G59)-((F59*G59)/2)))</f>
      </c>
      <c r="L59" s="2">
        <f>(L58*(1-K58))</f>
      </c>
      <c r="M59" s="2">
        <f>(1-((1-G59)*(1-H59)))</f>
      </c>
      <c r="N59" s="2">
        <f>MIN(1,((F59+M59)-((F59*M59)/2)))</f>
      </c>
      <c r="O59" s="2">
        <f>(O58*(1-N58))</f>
      </c>
      <c r="P59" s="2">
        <f>(L59*K59)</f>
      </c>
      <c r="Q59" s="2">
        <f>(L59*I59)</f>
      </c>
      <c r="R59" s="2">
        <f>(O59*I59)</f>
      </c>
      <c r="S59" s="2">
        <f>SUM(Q59:Q74)</f>
      </c>
      <c r="T59" s="2">
        <f>SUM(R59:R74)</f>
      </c>
      <c r="U59" s="2">
        <f>1</f>
      </c>
      <c r="V59" s="2">
        <f>((L59*K59)*J59)</f>
      </c>
      <c r="W59" s="2">
        <f>SUMPRODUCT(U59:U73,V59:V73)</f>
      </c>
      <c r="X59" s="2">
        <f>IF(Q59=0,0,((W59+(betaPrime*(S59-S74)))-(($BB$18*(T59-T23))*(D59&lt;=$BB$4)))/Q59)</f>
      </c>
      <c r="Y59" s="4">
        <f>ROUND((X59*100000),0)</f>
      </c>
      <c r="Z59" s="2">
        <f>(($BB$19*MAX((MIN($BB$4,7)-D59),0))/MIN($BB$4,7))</f>
      </c>
      <c r="AA59" s="2">
        <f>MAX((X59-Z59),0)</f>
      </c>
      <c r="AB59" s="2">
        <f>AA59</f>
      </c>
      <c r="AC59" s="2">
        <f>((MIN(D59,$BB$4)*k_freq)*$BB$14)</f>
      </c>
      <c r="AD59" s="2">
        <f>IF(AC59=0,0,AB59/AC59)</f>
      </c>
      <c r="AF59" s="2">
        <f>MIN(1,((F59+H59)-((F59*H59)/2)))</f>
      </c>
      <c r="AG59" s="2">
        <f>(AG58*(1-AF58))</f>
      </c>
      <c r="AH59" s="2">
        <f>(1-((1-H59)*(1-G59)))</f>
      </c>
      <c r="AI59" s="2">
        <f>MIN(1,((F59+AH59)-((F59*AH59)/2)))</f>
      </c>
      <c r="AJ59" s="2">
        <f>(AJ58*(1-AI58))</f>
      </c>
      <c r="AK59" s="2">
        <f>(AG59*H59)</f>
      </c>
      <c r="AL59" s="2">
        <f>(AG59*I59)</f>
      </c>
      <c r="AM59" s="2">
        <f>(AJ59*I59)</f>
      </c>
      <c r="AN59" s="2">
        <f>SUM(AL59:AL63)</f>
      </c>
      <c r="AO59" s="2">
        <f>SUM(AM59:AM63)</f>
      </c>
      <c r="AP59" s="2">
        <f>(1*IF((D59=0),(1-(3/12)),1))</f>
      </c>
      <c r="AQ59" s="2">
        <f>((AG59*H59)*J59)</f>
      </c>
      <c r="AR59" s="2">
        <f>SUMPRODUCT(AP59:AP62,AQ59:AQ62)</f>
      </c>
      <c r="AS59" s="2">
        <f>IF(AL59=0,0,((AR59+(betaPrime*(AN59-AN63)))-(($BC$18*(AO59-AO23))*(D59&lt;=$BC$4)))/AL59)</f>
      </c>
      <c r="AT59" s="4">
        <f>ROUND((AS59*100000),0)</f>
      </c>
      <c r="AU59" s="2">
        <f>(($BC$19*MAX((MIN($BC$4,7)-D59),0))/MIN($BC$4,7))</f>
      </c>
      <c r="AV59" s="2">
        <f>MAX((AS59-AU59),0)</f>
      </c>
      <c r="AW59" s="2">
        <f>AV59</f>
      </c>
      <c r="AX59" s="2">
        <f>((MIN(D59,$BC$4)*k_freq)*$BC$14)</f>
      </c>
      <c r="AY59" s="2">
        <f>IF(AX59=0,0,AW59/AX59)</f>
      </c>
    </row>
    <row r="60">
      <c r="D60" s="1">
        <v>57</v>
      </c>
      <c r="E60" s="1">
        <f>x_age+D60</f>
      </c>
      <c r="F60" s="3">
        <v>0.27053</v>
      </c>
      <c r="G60" s="3">
        <v>0.006363</v>
      </c>
      <c r="H60" s="3">
        <v>0.040474</v>
      </c>
      <c r="I60" s="3">
        <f>v_disc^(D60)</f>
      </c>
      <c r="J60" s="3">
        <f>v_disc^(D60+0.5)</f>
      </c>
      <c r="K60" s="2">
        <f>MIN(1,((F60+G60)-((F60*G60)/2)))</f>
      </c>
      <c r="L60" s="2">
        <f>(L59*(1-K59))</f>
      </c>
      <c r="M60" s="2">
        <f>(1-((1-G60)*(1-H60)))</f>
      </c>
      <c r="N60" s="2">
        <f>MIN(1,((F60+M60)-((F60*M60)/2)))</f>
      </c>
      <c r="O60" s="2">
        <f>(O59*(1-N59))</f>
      </c>
      <c r="P60" s="2">
        <f>(L60*K60)</f>
      </c>
      <c r="Q60" s="2">
        <f>(L60*I60)</f>
      </c>
      <c r="R60" s="2">
        <f>(O60*I60)</f>
      </c>
      <c r="S60" s="2">
        <f>SUM(Q60:Q74)</f>
      </c>
      <c r="T60" s="2">
        <f>SUM(R60:R74)</f>
      </c>
      <c r="U60" s="2">
        <f>1</f>
      </c>
      <c r="V60" s="2">
        <f>((L60*K60)*J60)</f>
      </c>
      <c r="W60" s="2">
        <f>SUMPRODUCT(U60:U73,V60:V73)</f>
      </c>
      <c r="X60" s="2">
        <f>IF(Q60=0,0,((W60+(betaPrime*(S60-S74)))-(($BB$18*(T60-T23))*(D60&lt;=$BB$4)))/Q60)</f>
      </c>
      <c r="Y60" s="4">
        <f>ROUND((X60*100000),0)</f>
      </c>
      <c r="Z60" s="2">
        <f>(($BB$19*MAX((MIN($BB$4,7)-D60),0))/MIN($BB$4,7))</f>
      </c>
      <c r="AA60" s="2">
        <f>MAX((X60-Z60),0)</f>
      </c>
      <c r="AB60" s="2">
        <f>AA60</f>
      </c>
      <c r="AC60" s="2">
        <f>((MIN(D60,$BB$4)*k_freq)*$BB$14)</f>
      </c>
      <c r="AD60" s="2">
        <f>IF(AC60=0,0,AB60/AC60)</f>
      </c>
      <c r="AF60" s="2">
        <f>MIN(1,((F60+H60)-((F60*H60)/2)))</f>
      </c>
      <c r="AG60" s="2">
        <f>(AG59*(1-AF59))</f>
      </c>
      <c r="AH60" s="2">
        <f>(1-((1-H60)*(1-G60)))</f>
      </c>
      <c r="AI60" s="2">
        <f>MIN(1,((F60+AH60)-((F60*AH60)/2)))</f>
      </c>
      <c r="AJ60" s="2">
        <f>(AJ59*(1-AI59))</f>
      </c>
      <c r="AK60" s="2">
        <f>(AG60*H60)</f>
      </c>
      <c r="AL60" s="2">
        <f>(AG60*I60)</f>
      </c>
      <c r="AM60" s="2">
        <f>(AJ60*I60)</f>
      </c>
      <c r="AN60" s="2">
        <f>SUM(AL60:AL63)</f>
      </c>
      <c r="AO60" s="2">
        <f>SUM(AM60:AM63)</f>
      </c>
      <c r="AP60" s="2">
        <f>(1*IF((D60=0),(1-(3/12)),1))</f>
      </c>
      <c r="AQ60" s="2">
        <f>((AG60*H60)*J60)</f>
      </c>
      <c r="AR60" s="2">
        <f>SUMPRODUCT(AP60:AP62,AQ60:AQ62)</f>
      </c>
      <c r="AS60" s="2">
        <f>IF(AL60=0,0,((AR60+(betaPrime*(AN60-AN63)))-(($BC$18*(AO60-AO23))*(D60&lt;=$BC$4)))/AL60)</f>
      </c>
      <c r="AT60" s="4">
        <f>ROUND((AS60*100000),0)</f>
      </c>
      <c r="AU60" s="2">
        <f>(($BC$19*MAX((MIN($BC$4,7)-D60),0))/MIN($BC$4,7))</f>
      </c>
      <c r="AV60" s="2">
        <f>MAX((AS60-AU60),0)</f>
      </c>
      <c r="AW60" s="2">
        <f>AV60</f>
      </c>
      <c r="AX60" s="2">
        <f>((MIN(D60,$BC$4)*k_freq)*$BC$14)</f>
      </c>
      <c r="AY60" s="2">
        <f>IF(AX60=0,0,AW60/AX60)</f>
      </c>
    </row>
    <row r="61">
      <c r="D61" s="1">
        <v>58</v>
      </c>
      <c r="E61" s="1">
        <f>x_age+D61</f>
      </c>
      <c r="F61" s="3">
        <v>0.29699</v>
      </c>
      <c r="G61" s="3">
        <v>0.006638</v>
      </c>
      <c r="H61" s="3">
        <v>0.040474</v>
      </c>
      <c r="I61" s="3">
        <f>v_disc^(D61)</f>
      </c>
      <c r="J61" s="3">
        <f>v_disc^(D61+0.5)</f>
      </c>
      <c r="K61" s="2">
        <f>MIN(1,((F61+G61)-((F61*G61)/2)))</f>
      </c>
      <c r="L61" s="2">
        <f>(L60*(1-K60))</f>
      </c>
      <c r="M61" s="2">
        <f>(1-((1-G61)*(1-H61)))</f>
      </c>
      <c r="N61" s="2">
        <f>MIN(1,((F61+M61)-((F61*M61)/2)))</f>
      </c>
      <c r="O61" s="2">
        <f>(O60*(1-N60))</f>
      </c>
      <c r="P61" s="2">
        <f>(L61*K61)</f>
      </c>
      <c r="Q61" s="2">
        <f>(L61*I61)</f>
      </c>
      <c r="R61" s="2">
        <f>(O61*I61)</f>
      </c>
      <c r="S61" s="2">
        <f>SUM(Q61:Q74)</f>
      </c>
      <c r="T61" s="2">
        <f>SUM(R61:R74)</f>
      </c>
      <c r="U61" s="2">
        <f>1</f>
      </c>
      <c r="V61" s="2">
        <f>((L61*K61)*J61)</f>
      </c>
      <c r="W61" s="2">
        <f>SUMPRODUCT(U61:U73,V61:V73)</f>
      </c>
      <c r="X61" s="2">
        <f>IF(Q61=0,0,((W61+(betaPrime*(S61-S74)))-(($BB$18*(T61-T23))*(D61&lt;=$BB$4)))/Q61)</f>
      </c>
      <c r="Y61" s="4">
        <f>ROUND((X61*100000),0)</f>
      </c>
      <c r="Z61" s="2">
        <f>(($BB$19*MAX((MIN($BB$4,7)-D61),0))/MIN($BB$4,7))</f>
      </c>
      <c r="AA61" s="2">
        <f>MAX((X61-Z61),0)</f>
      </c>
      <c r="AB61" s="2">
        <f>AA61</f>
      </c>
      <c r="AC61" s="2">
        <f>((MIN(D61,$BB$4)*k_freq)*$BB$14)</f>
      </c>
      <c r="AD61" s="2">
        <f>IF(AC61=0,0,AB61/AC61)</f>
      </c>
      <c r="AF61" s="2">
        <f>MIN(1,((F61+H61)-((F61*H61)/2)))</f>
      </c>
      <c r="AG61" s="2">
        <f>(AG60*(1-AF60))</f>
      </c>
      <c r="AH61" s="2">
        <f>(1-((1-H61)*(1-G61)))</f>
      </c>
      <c r="AI61" s="2">
        <f>MIN(1,((F61+AH61)-((F61*AH61)/2)))</f>
      </c>
      <c r="AJ61" s="2">
        <f>(AJ60*(1-AI60))</f>
      </c>
      <c r="AK61" s="2">
        <f>(AG61*H61)</f>
      </c>
      <c r="AL61" s="2">
        <f>(AG61*I61)</f>
      </c>
      <c r="AM61" s="2">
        <f>(AJ61*I61)</f>
      </c>
      <c r="AN61" s="2">
        <f>SUM(AL61:AL63)</f>
      </c>
      <c r="AO61" s="2">
        <f>SUM(AM61:AM63)</f>
      </c>
      <c r="AP61" s="2">
        <f>(1*IF((D61=0),(1-(3/12)),1))</f>
      </c>
      <c r="AQ61" s="2">
        <f>((AG61*H61)*J61)</f>
      </c>
      <c r="AR61" s="2">
        <f>SUMPRODUCT(AP61:AP62,AQ61:AQ62)</f>
      </c>
      <c r="AS61" s="2">
        <f>IF(AL61=0,0,((AR61+(betaPrime*(AN61-AN63)))-(($BC$18*(AO61-AO23))*(D61&lt;=$BC$4)))/AL61)</f>
      </c>
      <c r="AT61" s="4">
        <f>ROUND((AS61*100000),0)</f>
      </c>
      <c r="AU61" s="2">
        <f>(($BC$19*MAX((MIN($BC$4,7)-D61),0))/MIN($BC$4,7))</f>
      </c>
      <c r="AV61" s="2">
        <f>MAX((AS61-AU61),0)</f>
      </c>
      <c r="AW61" s="2">
        <f>AV61</f>
      </c>
      <c r="AX61" s="2">
        <f>((MIN(D61,$BC$4)*k_freq)*$BC$14)</f>
      </c>
      <c r="AY61" s="2">
        <f>IF(AX61=0,0,AW61/AX61)</f>
      </c>
    </row>
    <row r="62">
      <c r="D62" s="1">
        <v>59</v>
      </c>
      <c r="E62" s="1">
        <f>x_age+D62</f>
      </c>
      <c r="F62" s="3">
        <v>0.32546</v>
      </c>
      <c r="G62" s="3">
        <v>0.006914</v>
      </c>
      <c r="H62" s="3">
        <v>0.040475</v>
      </c>
      <c r="I62" s="3">
        <f>v_disc^(D62)</f>
      </c>
      <c r="J62" s="3">
        <f>v_disc^(D62+0.5)</f>
      </c>
      <c r="K62" s="2">
        <f>MIN(1,((F62+G62)-((F62*G62)/2)))</f>
      </c>
      <c r="L62" s="2">
        <f>(L61*(1-K61))</f>
      </c>
      <c r="M62" s="2">
        <f>(1-((1-G62)*(1-H62)))</f>
      </c>
      <c r="N62" s="2">
        <f>MIN(1,((F62+M62)-((F62*M62)/2)))</f>
      </c>
      <c r="O62" s="2">
        <f>(O61*(1-N61))</f>
      </c>
      <c r="P62" s="2">
        <f>(L62*K62)</f>
      </c>
      <c r="Q62" s="2">
        <f>(L62*I62)</f>
      </c>
      <c r="R62" s="2">
        <f>(O62*I62)</f>
      </c>
      <c r="S62" s="2">
        <f>SUM(Q62:Q74)</f>
      </c>
      <c r="T62" s="2">
        <f>SUM(R62:R74)</f>
      </c>
      <c r="U62" s="2">
        <f>1</f>
      </c>
      <c r="V62" s="2">
        <f>((L62*K62)*J62)</f>
      </c>
      <c r="W62" s="2">
        <f>SUMPRODUCT(U62:U73,V62:V73)</f>
      </c>
      <c r="X62" s="2">
        <f>IF(Q62=0,0,((W62+(betaPrime*(S62-S74)))-(($BB$18*(T62-T23))*(D62&lt;=$BB$4)))/Q62)</f>
      </c>
      <c r="Y62" s="4">
        <f>ROUND((X62*100000),0)</f>
      </c>
      <c r="Z62" s="2">
        <f>(($BB$19*MAX((MIN($BB$4,7)-D62),0))/MIN($BB$4,7))</f>
      </c>
      <c r="AA62" s="2">
        <f>MAX((X62-Z62),0)</f>
      </c>
      <c r="AB62" s="2">
        <f>AA62</f>
      </c>
      <c r="AC62" s="2">
        <f>((MIN(D62,$BB$4)*k_freq)*$BB$14)</f>
      </c>
      <c r="AD62" s="2">
        <f>IF(AC62=0,0,AB62/AC62)</f>
      </c>
      <c r="AF62" s="2">
        <f>MIN(1,((F62+H62)-((F62*H62)/2)))</f>
      </c>
      <c r="AG62" s="2">
        <f>(AG61*(1-AF61))</f>
      </c>
      <c r="AH62" s="2">
        <f>(1-((1-H62)*(1-G62)))</f>
      </c>
      <c r="AI62" s="2">
        <f>MIN(1,((F62+AH62)-((F62*AH62)/2)))</f>
      </c>
      <c r="AJ62" s="2">
        <f>(AJ61*(1-AI61))</f>
      </c>
      <c r="AK62" s="2">
        <f>(AG62*H62)</f>
      </c>
      <c r="AL62" s="2">
        <f>(AG62*I62)</f>
      </c>
      <c r="AM62" s="2">
        <f>(AJ62*I62)</f>
      </c>
      <c r="AN62" s="2">
        <f>SUM(AL62:AL63)</f>
      </c>
      <c r="AO62" s="2">
        <f>SUM(AM62:AM63)</f>
      </c>
      <c r="AP62" s="2">
        <f>(1*IF((D62=0),(1-(3/12)),1))</f>
      </c>
      <c r="AQ62" s="2">
        <f>((AG62*H62)*J62)</f>
      </c>
      <c r="AR62" s="2">
        <f>SUMPRODUCT(AP62:AP62,AQ62:AQ62)</f>
      </c>
      <c r="AS62" s="2">
        <f>IF(AL62=0,0,((AR62+(betaPrime*(AN62-AN63)))-(($BC$18*(AO62-AO23))*(D62&lt;=$BC$4)))/AL62)</f>
      </c>
      <c r="AT62" s="4">
        <f>ROUND((AS62*100000),0)</f>
      </c>
      <c r="AU62" s="2">
        <f>(($BC$19*MAX((MIN($BC$4,7)-D62),0))/MIN($BC$4,7))</f>
      </c>
      <c r="AV62" s="2">
        <f>MAX((AS62-AU62),0)</f>
      </c>
      <c r="AW62" s="2">
        <f>AV62</f>
      </c>
      <c r="AX62" s="2">
        <f>((MIN(D62,$BC$4)*k_freq)*$BC$14)</f>
      </c>
      <c r="AY62" s="2">
        <f>IF(AX62=0,0,AW62/AX62)</f>
      </c>
    </row>
    <row r="63">
      <c r="D63" s="1">
        <v>60</v>
      </c>
      <c r="E63" s="1">
        <f>x_age+D63</f>
      </c>
      <c r="F63" s="3">
        <v>0.35547</v>
      </c>
      <c r="G63" s="3">
        <v>0.007205</v>
      </c>
      <c r="H63" s="3">
        <v>0.040475</v>
      </c>
      <c r="I63" s="3">
        <f>v_disc^(D63)</f>
      </c>
      <c r="J63" s="3">
        <f>v_disc^(D63+0.5)</f>
      </c>
      <c r="K63" s="2">
        <f>MIN(1,((F63+G63)-((F63*G63)/2)))</f>
      </c>
      <c r="L63" s="2">
        <f>(L62*(1-K62))</f>
      </c>
      <c r="M63" s="2">
        <f>(1-((1-G63)*(1-H63)))</f>
      </c>
      <c r="N63" s="2">
        <f>MIN(1,((F63+M63)-((F63*M63)/2)))</f>
      </c>
      <c r="O63" s="2">
        <f>(O62*(1-N62))</f>
      </c>
      <c r="P63" s="2">
        <f>(L63*K63)</f>
      </c>
      <c r="Q63" s="2">
        <f>(L63*I63)</f>
      </c>
      <c r="R63" s="2">
        <f>(O63*I63)</f>
      </c>
      <c r="S63" s="2">
        <f>SUM(Q63:Q74)</f>
      </c>
      <c r="T63" s="2">
        <f>SUM(R63:R74)</f>
      </c>
      <c r="U63" s="2">
        <f>1</f>
      </c>
      <c r="V63" s="2">
        <f>((L63*K63)*J63)</f>
      </c>
      <c r="W63" s="2">
        <f>SUMPRODUCT(U63:U73,V63:V73)</f>
      </c>
      <c r="X63" s="2">
        <f>IF(Q63=0,0,((W63+(betaPrime*(S63-S74)))-(($BB$18*(T63-T23))*(D63&lt;=$BB$4)))/Q63)</f>
      </c>
      <c r="Y63" s="4">
        <f>ROUND((X63*100000),0)</f>
      </c>
      <c r="Z63" s="2">
        <f>(($BB$19*MAX((MIN($BB$4,7)-D63),0))/MIN($BB$4,7))</f>
      </c>
      <c r="AA63" s="2">
        <f>MAX((X63-Z63),0)</f>
      </c>
      <c r="AB63" s="2">
        <f>AA63</f>
      </c>
      <c r="AC63" s="2">
        <f>((MIN(D63,$BB$4)*k_freq)*$BB$14)</f>
      </c>
      <c r="AD63" s="2">
        <f>IF(AC63=0,0,AB63/AC63)</f>
      </c>
      <c r="AF63" s="2">
        <f>MIN(1,((F63+H63)-((F63*H63)/2)))</f>
      </c>
      <c r="AG63" s="2">
        <f>(AG62*(1-AF62))</f>
      </c>
      <c r="AH63" s="2">
        <f>(1-((1-H63)*(1-G63)))</f>
      </c>
      <c r="AI63" s="2">
        <f>MIN(1,((F63+AH63)-((F63*AH63)/2)))</f>
      </c>
      <c r="AJ63" s="2">
        <f>(AJ62*(1-AI62))</f>
      </c>
      <c r="AK63" s="2">
        <f>(AG63*H63)</f>
      </c>
      <c r="AL63" s="2">
        <f>(AG63*I63)</f>
      </c>
      <c r="AM63" s="2">
        <f>(AJ63*I63)</f>
      </c>
      <c r="AN63" s="2">
        <f>SUM(AL63:AL63)</f>
      </c>
      <c r="AO63" s="2">
        <f>SUM(AM63:AM63)</f>
      </c>
      <c r="AP63" s="2">
        <f>(1*IF((D63=0),(1-(3/12)),1))</f>
      </c>
      <c r="AQ63" s="2">
        <f>((AG63*H63)*J63)</f>
      </c>
      <c r="AR63" s="2">
        <f>0</f>
      </c>
      <c r="AS63" s="2">
        <f>IF(AL63=0,0,((AR63+(betaPrime*(AN63-AN63)))-(($BC$18*(AO63-AO23))*(D63&lt;=$BC$4)))/AL63)</f>
      </c>
      <c r="AT63" s="4">
        <f>ROUND((AS63*100000),0)</f>
      </c>
      <c r="AU63" s="2">
        <f>(($BC$19*MAX((MIN($BC$4,7)-D63),0))/MIN($BC$4,7))</f>
      </c>
      <c r="AV63" s="2">
        <f>MAX((AS63-AU63),0)</f>
      </c>
      <c r="AW63" s="2">
        <f>AV63</f>
      </c>
      <c r="AX63" s="2">
        <f>((MIN(D63,$BC$4)*k_freq)*$BC$14)</f>
      </c>
      <c r="AY63" s="2">
        <f>IF(AX63=0,0,AW63/AX63)</f>
      </c>
    </row>
    <row r="64">
      <c r="D64" s="1">
        <v>61</v>
      </c>
      <c r="E64" s="1">
        <f>x_age+D64</f>
      </c>
      <c r="F64" s="3">
        <v>0.38675</v>
      </c>
      <c r="G64" s="3">
        <v>0.007513</v>
      </c>
      <c r="H64" s="3">
        <v>0.040475</v>
      </c>
      <c r="I64" s="3">
        <f>v_disc^(D64)</f>
      </c>
      <c r="J64" s="3">
        <f>v_disc^(D64+0.5)</f>
      </c>
      <c r="K64" s="2">
        <f>MIN(1,((F64+G64)-((F64*G64)/2)))</f>
      </c>
      <c r="L64" s="2">
        <f>(L63*(1-K63))</f>
      </c>
      <c r="M64" s="2">
        <f>(1-((1-G64)*(1-H64)))</f>
      </c>
      <c r="N64" s="2">
        <f>MIN(1,((F64+M64)-((F64*M64)/2)))</f>
      </c>
      <c r="O64" s="2">
        <f>(O63*(1-N63))</f>
      </c>
      <c r="P64" s="2">
        <f>(L64*K64)</f>
      </c>
      <c r="Q64" s="2">
        <f>(L64*I64)</f>
      </c>
      <c r="R64" s="2">
        <f>(O64*I64)</f>
      </c>
      <c r="S64" s="2">
        <f>SUM(Q64:Q74)</f>
      </c>
      <c r="T64" s="2">
        <f>SUM(R64:R74)</f>
      </c>
      <c r="U64" s="2">
        <f>1</f>
      </c>
      <c r="V64" s="2">
        <f>((L64*K64)*J64)</f>
      </c>
      <c r="W64" s="2">
        <f>SUMPRODUCT(U64:U73,V64:V73)</f>
      </c>
      <c r="X64" s="2">
        <f>IF(Q64=0,0,((W64+(betaPrime*(S64-S74)))-(($BB$18*(T64-T23))*(D64&lt;=$BB$4)))/Q64)</f>
      </c>
      <c r="Y64" s="4">
        <f>ROUND((X64*100000),0)</f>
      </c>
      <c r="Z64" s="2">
        <f>(($BB$19*MAX((MIN($BB$4,7)-D64),0))/MIN($BB$4,7))</f>
      </c>
      <c r="AA64" s="2">
        <f>MAX((X64-Z64),0)</f>
      </c>
      <c r="AB64" s="2">
        <f>AA64</f>
      </c>
      <c r="AC64" s="2">
        <f>((MIN(D64,$BB$4)*k_freq)*$BB$14)</f>
      </c>
      <c r="AD64" s="2">
        <f>IF(AC64=0,0,AB64/AC64)</f>
      </c>
    </row>
    <row r="65">
      <c r="D65" s="1">
        <v>62</v>
      </c>
      <c r="E65" s="1">
        <f>x_age+D65</f>
      </c>
      <c r="F65" s="3">
        <v>0.41937</v>
      </c>
      <c r="G65" s="3">
        <v>0.007833</v>
      </c>
      <c r="H65" s="3">
        <v>0.040475</v>
      </c>
      <c r="I65" s="3">
        <f>v_disc^(D65)</f>
      </c>
      <c r="J65" s="3">
        <f>v_disc^(D65+0.5)</f>
      </c>
      <c r="K65" s="2">
        <f>MIN(1,((F65+G65)-((F65*G65)/2)))</f>
      </c>
      <c r="L65" s="2">
        <f>(L64*(1-K64))</f>
      </c>
      <c r="M65" s="2">
        <f>(1-((1-G65)*(1-H65)))</f>
      </c>
      <c r="N65" s="2">
        <f>MIN(1,((F65+M65)-((F65*M65)/2)))</f>
      </c>
      <c r="O65" s="2">
        <f>(O64*(1-N64))</f>
      </c>
      <c r="P65" s="2">
        <f>(L65*K65)</f>
      </c>
      <c r="Q65" s="2">
        <f>(L65*I65)</f>
      </c>
      <c r="R65" s="2">
        <f>(O65*I65)</f>
      </c>
      <c r="S65" s="2">
        <f>SUM(Q65:Q74)</f>
      </c>
      <c r="T65" s="2">
        <f>SUM(R65:R74)</f>
      </c>
      <c r="U65" s="2">
        <f>1</f>
      </c>
      <c r="V65" s="2">
        <f>((L65*K65)*J65)</f>
      </c>
      <c r="W65" s="2">
        <f>SUMPRODUCT(U65:U73,V65:V73)</f>
      </c>
      <c r="X65" s="2">
        <f>IF(Q65=0,0,((W65+(betaPrime*(S65-S74)))-(($BB$18*(T65-T23))*(D65&lt;=$BB$4)))/Q65)</f>
      </c>
      <c r="Y65" s="4">
        <f>ROUND((X65*100000),0)</f>
      </c>
      <c r="Z65" s="2">
        <f>(($BB$19*MAX((MIN($BB$4,7)-D65),0))/MIN($BB$4,7))</f>
      </c>
      <c r="AA65" s="2">
        <f>MAX((X65-Z65),0)</f>
      </c>
      <c r="AB65" s="2">
        <f>AA65</f>
      </c>
      <c r="AC65" s="2">
        <f>((MIN(D65,$BB$4)*k_freq)*$BB$14)</f>
      </c>
      <c r="AD65" s="2">
        <f>IF(AC65=0,0,AB65/AC65)</f>
      </c>
    </row>
    <row r="66">
      <c r="D66" s="1">
        <v>63</v>
      </c>
      <c r="E66" s="1">
        <f>x_age+D66</f>
      </c>
      <c r="F66" s="3">
        <v>0.4509</v>
      </c>
      <c r="G66" s="3">
        <v>0.008159</v>
      </c>
      <c r="H66" s="3">
        <v>0.040475</v>
      </c>
      <c r="I66" s="3">
        <f>v_disc^(D66)</f>
      </c>
      <c r="J66" s="3">
        <f>v_disc^(D66+0.5)</f>
      </c>
      <c r="K66" s="2">
        <f>MIN(1,((F66+G66)-((F66*G66)/2)))</f>
      </c>
      <c r="L66" s="2">
        <f>(L65*(1-K65))</f>
      </c>
      <c r="M66" s="2">
        <f>(1-((1-G66)*(1-H66)))</f>
      </c>
      <c r="N66" s="2">
        <f>MIN(1,((F66+M66)-((F66*M66)/2)))</f>
      </c>
      <c r="O66" s="2">
        <f>(O65*(1-N65))</f>
      </c>
      <c r="P66" s="2">
        <f>(L66*K66)</f>
      </c>
      <c r="Q66" s="2">
        <f>(L66*I66)</f>
      </c>
      <c r="R66" s="2">
        <f>(O66*I66)</f>
      </c>
      <c r="S66" s="2">
        <f>SUM(Q66:Q74)</f>
      </c>
      <c r="T66" s="2">
        <f>SUM(R66:R74)</f>
      </c>
      <c r="U66" s="2">
        <f>1</f>
      </c>
      <c r="V66" s="2">
        <f>((L66*K66)*J66)</f>
      </c>
      <c r="W66" s="2">
        <f>SUMPRODUCT(U66:U73,V66:V73)</f>
      </c>
      <c r="X66" s="2">
        <f>IF(Q66=0,0,((W66+(betaPrime*(S66-S74)))-(($BB$18*(T66-T23))*(D66&lt;=$BB$4)))/Q66)</f>
      </c>
      <c r="Y66" s="4">
        <f>ROUND((X66*100000),0)</f>
      </c>
      <c r="Z66" s="2">
        <f>(($BB$19*MAX((MIN($BB$4,7)-D66),0))/MIN($BB$4,7))</f>
      </c>
      <c r="AA66" s="2">
        <f>MAX((X66-Z66),0)</f>
      </c>
      <c r="AB66" s="2">
        <f>AA66</f>
      </c>
      <c r="AC66" s="2">
        <f>((MIN(D66,$BB$4)*k_freq)*$BB$14)</f>
      </c>
      <c r="AD66" s="2">
        <f>IF(AC66=0,0,AB66/AC66)</f>
      </c>
    </row>
    <row r="67">
      <c r="D67" s="1">
        <v>64</v>
      </c>
      <c r="E67" s="1">
        <f>x_age+D67</f>
      </c>
      <c r="F67" s="3">
        <v>0.48142</v>
      </c>
      <c r="G67" s="3">
        <v>0.008641</v>
      </c>
      <c r="H67" s="3">
        <v>0.040476</v>
      </c>
      <c r="I67" s="3">
        <f>v_disc^(D67)</f>
      </c>
      <c r="J67" s="3">
        <f>v_disc^(D67+0.5)</f>
      </c>
      <c r="K67" s="2">
        <f>MIN(1,((F67+G67)-((F67*G67)/2)))</f>
      </c>
      <c r="L67" s="2">
        <f>(L66*(1-K66))</f>
      </c>
      <c r="M67" s="2">
        <f>(1-((1-G67)*(1-H67)))</f>
      </c>
      <c r="N67" s="2">
        <f>MIN(1,((F67+M67)-((F67*M67)/2)))</f>
      </c>
      <c r="O67" s="2">
        <f>(O66*(1-N66))</f>
      </c>
      <c r="P67" s="2">
        <f>(L67*K67)</f>
      </c>
      <c r="Q67" s="2">
        <f>(L67*I67)</f>
      </c>
      <c r="R67" s="2">
        <f>(O67*I67)</f>
      </c>
      <c r="S67" s="2">
        <f>SUM(Q67:Q74)</f>
      </c>
      <c r="T67" s="2">
        <f>SUM(R67:R74)</f>
      </c>
      <c r="U67" s="2">
        <f>1</f>
      </c>
      <c r="V67" s="2">
        <f>((L67*K67)*J67)</f>
      </c>
      <c r="W67" s="2">
        <f>SUMPRODUCT(U67:U73,V67:V73)</f>
      </c>
      <c r="X67" s="2">
        <f>IF(Q67=0,0,((W67+(betaPrime*(S67-S74)))-(($BB$18*(T67-T23))*(D67&lt;=$BB$4)))/Q67)</f>
      </c>
      <c r="Y67" s="4">
        <f>ROUND((X67*100000),0)</f>
      </c>
      <c r="Z67" s="2">
        <f>(($BB$19*MAX((MIN($BB$4,7)-D67),0))/MIN($BB$4,7))</f>
      </c>
      <c r="AA67" s="2">
        <f>MAX((X67-Z67),0)</f>
      </c>
      <c r="AB67" s="2">
        <f>AA67</f>
      </c>
      <c r="AC67" s="2">
        <f>((MIN(D67,$BB$4)*k_freq)*$BB$14)</f>
      </c>
      <c r="AD67" s="2">
        <f>IF(AC67=0,0,AB67/AC67)</f>
      </c>
    </row>
    <row r="68">
      <c r="D68" s="1">
        <v>65</v>
      </c>
      <c r="E68" s="1">
        <f>x_age+D68</f>
      </c>
      <c r="F68" s="3">
        <v>0.5438</v>
      </c>
      <c r="G68" s="3">
        <v>0.009152</v>
      </c>
      <c r="H68" s="3">
        <v>0.040475</v>
      </c>
      <c r="I68" s="3">
        <f>v_disc^(D68)</f>
      </c>
      <c r="J68" s="3">
        <f>v_disc^(D68+0.5)</f>
      </c>
      <c r="K68" s="2">
        <f>MIN(1,((F68+G68)-((F68*G68)/2)))</f>
      </c>
      <c r="L68" s="2">
        <f>(L67*(1-K67))</f>
      </c>
      <c r="M68" s="2">
        <f>(1-((1-G68)*(1-H68)))</f>
      </c>
      <c r="N68" s="2">
        <f>MIN(1,((F68+M68)-((F68*M68)/2)))</f>
      </c>
      <c r="O68" s="2">
        <f>(O67*(1-N67))</f>
      </c>
      <c r="P68" s="2">
        <f>(L68*K68)</f>
      </c>
      <c r="Q68" s="2">
        <f>(L68*I68)</f>
      </c>
      <c r="R68" s="2">
        <f>(O68*I68)</f>
      </c>
      <c r="S68" s="2">
        <f>SUM(Q68:Q74)</f>
      </c>
      <c r="T68" s="2">
        <f>SUM(R68:R74)</f>
      </c>
      <c r="U68" s="2">
        <f>1</f>
      </c>
      <c r="V68" s="2">
        <f>((L68*K68)*J68)</f>
      </c>
      <c r="W68" s="2">
        <f>SUMPRODUCT(U68:U73,V68:V73)</f>
      </c>
      <c r="X68" s="2">
        <f>IF(Q68=0,0,((W68+(betaPrime*(S68-S74)))-(($BB$18*(T68-T23))*(D68&lt;=$BB$4)))/Q68)</f>
      </c>
      <c r="Y68" s="4">
        <f>ROUND((X68*100000),0)</f>
      </c>
      <c r="Z68" s="2">
        <f>(($BB$19*MAX((MIN($BB$4,7)-D68),0))/MIN($BB$4,7))</f>
      </c>
      <c r="AA68" s="2">
        <f>MAX((X68-Z68),0)</f>
      </c>
      <c r="AB68" s="2">
        <f>AA68</f>
      </c>
      <c r="AC68" s="2">
        <f>((MIN(D68,$BB$4)*k_freq)*$BB$14)</f>
      </c>
      <c r="AD68" s="2">
        <f>IF(AC68=0,0,AB68/AC68)</f>
      </c>
    </row>
    <row r="69">
      <c r="D69" s="1">
        <v>66</v>
      </c>
      <c r="E69" s="1">
        <f>x_age+D69</f>
      </c>
      <c r="F69" s="3">
        <v>0.61426</v>
      </c>
      <c r="G69" s="3">
        <v>0.009695</v>
      </c>
      <c r="H69" s="3">
        <v>0.040475</v>
      </c>
      <c r="I69" s="3">
        <f>v_disc^(D69)</f>
      </c>
      <c r="J69" s="3">
        <f>v_disc^(D69+0.5)</f>
      </c>
      <c r="K69" s="2">
        <f>MIN(1,((F69+G69)-((F69*G69)/2)))</f>
      </c>
      <c r="L69" s="2">
        <f>(L68*(1-K68))</f>
      </c>
      <c r="M69" s="2">
        <f>(1-((1-G69)*(1-H69)))</f>
      </c>
      <c r="N69" s="2">
        <f>MIN(1,((F69+M69)-((F69*M69)/2)))</f>
      </c>
      <c r="O69" s="2">
        <f>(O68*(1-N68))</f>
      </c>
      <c r="P69" s="2">
        <f>(L69*K69)</f>
      </c>
      <c r="Q69" s="2">
        <f>(L69*I69)</f>
      </c>
      <c r="R69" s="2">
        <f>(O69*I69)</f>
      </c>
      <c r="S69" s="2">
        <f>SUM(Q69:Q74)</f>
      </c>
      <c r="T69" s="2">
        <f>SUM(R69:R74)</f>
      </c>
      <c r="U69" s="2">
        <f>1</f>
      </c>
      <c r="V69" s="2">
        <f>((L69*K69)*J69)</f>
      </c>
      <c r="W69" s="2">
        <f>SUMPRODUCT(U69:U73,V69:V73)</f>
      </c>
      <c r="X69" s="2">
        <f>IF(Q69=0,0,((W69+(betaPrime*(S69-S74)))-(($BB$18*(T69-T23))*(D69&lt;=$BB$4)))/Q69)</f>
      </c>
      <c r="Y69" s="4">
        <f>ROUND((X69*100000),0)</f>
      </c>
      <c r="Z69" s="2">
        <f>(($BB$19*MAX((MIN($BB$4,7)-D69),0))/MIN($BB$4,7))</f>
      </c>
      <c r="AA69" s="2">
        <f>MAX((X69-Z69),0)</f>
      </c>
      <c r="AB69" s="2">
        <f>AA69</f>
      </c>
      <c r="AC69" s="2">
        <f>((MIN(D69,$BB$4)*k_freq)*$BB$14)</f>
      </c>
      <c r="AD69" s="2">
        <f>IF(AC69=0,0,AB69/AC69)</f>
      </c>
    </row>
    <row r="70">
      <c r="D70" s="1">
        <v>67</v>
      </c>
      <c r="E70" s="1">
        <f>x_age+D70</f>
      </c>
      <c r="F70" s="3">
        <v>0.69385</v>
      </c>
      <c r="G70" s="3">
        <v>0.01027</v>
      </c>
      <c r="H70" s="3">
        <v>0.040475</v>
      </c>
      <c r="I70" s="3">
        <f>v_disc^(D70)</f>
      </c>
      <c r="J70" s="3">
        <f>v_disc^(D70+0.5)</f>
      </c>
      <c r="K70" s="2">
        <f>MIN(1,((F70+G70)-((F70*G70)/2)))</f>
      </c>
      <c r="L70" s="2">
        <f>(L69*(1-K69))</f>
      </c>
      <c r="M70" s="2">
        <f>(1-((1-G70)*(1-H70)))</f>
      </c>
      <c r="N70" s="2">
        <f>MIN(1,((F70+M70)-((F70*M70)/2)))</f>
      </c>
      <c r="O70" s="2">
        <f>(O69*(1-N69))</f>
      </c>
      <c r="P70" s="2">
        <f>(L70*K70)</f>
      </c>
      <c r="Q70" s="2">
        <f>(L70*I70)</f>
      </c>
      <c r="R70" s="2">
        <f>(O70*I70)</f>
      </c>
      <c r="S70" s="2">
        <f>SUM(Q70:Q74)</f>
      </c>
      <c r="T70" s="2">
        <f>SUM(R70:R74)</f>
      </c>
      <c r="U70" s="2">
        <f>1</f>
      </c>
      <c r="V70" s="2">
        <f>((L70*K70)*J70)</f>
      </c>
      <c r="W70" s="2">
        <f>SUMPRODUCT(U70:U73,V70:V73)</f>
      </c>
      <c r="X70" s="2">
        <f>IF(Q70=0,0,((W70+(betaPrime*(S70-S74)))-(($BB$18*(T70-T23))*(D70&lt;=$BB$4)))/Q70)</f>
      </c>
      <c r="Y70" s="4">
        <f>ROUND((X70*100000),0)</f>
      </c>
      <c r="Z70" s="2">
        <f>(($BB$19*MAX((MIN($BB$4,7)-D70),0))/MIN($BB$4,7))</f>
      </c>
      <c r="AA70" s="2">
        <f>MAX((X70-Z70),0)</f>
      </c>
      <c r="AB70" s="2">
        <f>AA70</f>
      </c>
      <c r="AC70" s="2">
        <f>((MIN(D70,$BB$4)*k_freq)*$BB$14)</f>
      </c>
      <c r="AD70" s="2">
        <f>IF(AC70=0,0,AB70/AC70)</f>
      </c>
    </row>
    <row r="71">
      <c r="D71" s="1">
        <v>68</v>
      </c>
      <c r="E71" s="1">
        <f>x_age+D71</f>
      </c>
      <c r="F71" s="3">
        <v>0.78375</v>
      </c>
      <c r="G71" s="3">
        <v>0.01088</v>
      </c>
      <c r="H71" s="3">
        <v>0.040475</v>
      </c>
      <c r="I71" s="3">
        <f>v_disc^(D71)</f>
      </c>
      <c r="J71" s="3">
        <f>v_disc^(D71+0.5)</f>
      </c>
      <c r="K71" s="2">
        <f>MIN(1,((F71+G71)-((F71*G71)/2)))</f>
      </c>
      <c r="L71" s="2">
        <f>(L70*(1-K70))</f>
      </c>
      <c r="M71" s="2">
        <f>(1-((1-G71)*(1-H71)))</f>
      </c>
      <c r="N71" s="2">
        <f>MIN(1,((F71+M71)-((F71*M71)/2)))</f>
      </c>
      <c r="O71" s="2">
        <f>(O70*(1-N70))</f>
      </c>
      <c r="P71" s="2">
        <f>(L71*K71)</f>
      </c>
      <c r="Q71" s="2">
        <f>(L71*I71)</f>
      </c>
      <c r="R71" s="2">
        <f>(O71*I71)</f>
      </c>
      <c r="S71" s="2">
        <f>SUM(Q71:Q74)</f>
      </c>
      <c r="T71" s="2">
        <f>SUM(R71:R74)</f>
      </c>
      <c r="U71" s="2">
        <f>1</f>
      </c>
      <c r="V71" s="2">
        <f>((L71*K71)*J71)</f>
      </c>
      <c r="W71" s="2">
        <f>SUMPRODUCT(U71:U73,V71:V73)</f>
      </c>
      <c r="X71" s="2">
        <f>IF(Q71=0,0,((W71+(betaPrime*(S71-S74)))-(($BB$18*(T71-T23))*(D71&lt;=$BB$4)))/Q71)</f>
      </c>
      <c r="Y71" s="4">
        <f>ROUND((X71*100000),0)</f>
      </c>
      <c r="Z71" s="2">
        <f>(($BB$19*MAX((MIN($BB$4,7)-D71),0))/MIN($BB$4,7))</f>
      </c>
      <c r="AA71" s="2">
        <f>MAX((X71-Z71),0)</f>
      </c>
      <c r="AB71" s="2">
        <f>AA71</f>
      </c>
      <c r="AC71" s="2">
        <f>((MIN(D71,$BB$4)*k_freq)*$BB$14)</f>
      </c>
      <c r="AD71" s="2">
        <f>IF(AC71=0,0,AB71/AC71)</f>
      </c>
    </row>
    <row r="72">
      <c r="D72" s="1">
        <v>69</v>
      </c>
      <c r="E72" s="1">
        <f>x_age+D72</f>
      </c>
      <c r="F72" s="3">
        <v>0.8853</v>
      </c>
      <c r="G72" s="3">
        <v>0.011528</v>
      </c>
      <c r="H72" s="3">
        <v>0.040475</v>
      </c>
      <c r="I72" s="3">
        <f>v_disc^(D72)</f>
      </c>
      <c r="J72" s="3">
        <f>v_disc^(D72+0.5)</f>
      </c>
      <c r="K72" s="2">
        <f>MIN(1,((F72+G72)-((F72*G72)/2)))</f>
      </c>
      <c r="L72" s="2">
        <f>(L71*(1-K71))</f>
      </c>
      <c r="M72" s="2">
        <f>(1-((1-G72)*(1-H72)))</f>
      </c>
      <c r="N72" s="2">
        <f>MIN(1,((F72+M72)-((F72*M72)/2)))</f>
      </c>
      <c r="O72" s="2">
        <f>(O71*(1-N71))</f>
      </c>
      <c r="P72" s="2">
        <f>(L72*K72)</f>
      </c>
      <c r="Q72" s="2">
        <f>(L72*I72)</f>
      </c>
      <c r="R72" s="2">
        <f>(O72*I72)</f>
      </c>
      <c r="S72" s="2">
        <f>SUM(Q72:Q74)</f>
      </c>
      <c r="T72" s="2">
        <f>SUM(R72:R74)</f>
      </c>
      <c r="U72" s="2">
        <f>1</f>
      </c>
      <c r="V72" s="2">
        <f>((L72*K72)*J72)</f>
      </c>
      <c r="W72" s="2">
        <f>SUMPRODUCT(U72:U73,V72:V73)</f>
      </c>
      <c r="X72" s="2">
        <f>IF(Q72=0,0,((W72+(betaPrime*(S72-S74)))-(($BB$18*(T72-T23))*(D72&lt;=$BB$4)))/Q72)</f>
      </c>
      <c r="Y72" s="4">
        <f>ROUND((X72*100000),0)</f>
      </c>
      <c r="Z72" s="2">
        <f>(($BB$19*MAX((MIN($BB$4,7)-D72),0))/MIN($BB$4,7))</f>
      </c>
      <c r="AA72" s="2">
        <f>MAX((X72-Z72),0)</f>
      </c>
      <c r="AB72" s="2">
        <f>AA72</f>
      </c>
      <c r="AC72" s="2">
        <f>((MIN(D72,$BB$4)*k_freq)*$BB$14)</f>
      </c>
      <c r="AD72" s="2">
        <f>IF(AC72=0,0,AB72/AC72)</f>
      </c>
    </row>
    <row r="73">
      <c r="D73" s="1">
        <v>70</v>
      </c>
      <c r="E73" s="1">
        <f>x_age+D73</f>
      </c>
      <c r="F73" s="3">
        <v>1</v>
      </c>
      <c r="G73" s="3">
        <v>0.011528</v>
      </c>
      <c r="H73" s="3">
        <v>0.040475</v>
      </c>
      <c r="I73" s="3">
        <f>v_disc^(D73)</f>
      </c>
      <c r="J73" s="3">
        <f>v_disc^(D73+0.5)</f>
      </c>
      <c r="K73" s="2">
        <f>MIN(1,((F73+G73)-((F73*G73)/2)))</f>
      </c>
      <c r="L73" s="2">
        <f>(L72*(1-K72))</f>
      </c>
      <c r="M73" s="2">
        <f>(1-((1-G73)*(1-H73)))</f>
      </c>
      <c r="N73" s="2">
        <f>MIN(1,((F73+M73)-((F73*M73)/2)))</f>
      </c>
      <c r="O73" s="2">
        <f>(O72*(1-N72))</f>
      </c>
      <c r="P73" s="2">
        <f>(L73*K73)</f>
      </c>
      <c r="Q73" s="2">
        <f>(L73*I73)</f>
      </c>
      <c r="R73" s="2">
        <f>(O73*I73)</f>
      </c>
      <c r="S73" s="2">
        <f>SUM(Q73:Q74)</f>
      </c>
      <c r="T73" s="2">
        <f>SUM(R73:R74)</f>
      </c>
      <c r="U73" s="2">
        <f>1</f>
      </c>
      <c r="V73" s="2">
        <f>((L73*K73)*J73)</f>
      </c>
      <c r="W73" s="2">
        <f>SUMPRODUCT(U73:U73,V73:V73)</f>
      </c>
      <c r="X73" s="2">
        <f>IF(Q73=0,0,((W73+(betaPrime*(S73-S74)))-(($BB$18*(T73-T23))*(D73&lt;=$BB$4)))/Q73)</f>
      </c>
      <c r="Y73" s="4">
        <f>ROUND((X73*100000),0)</f>
      </c>
      <c r="Z73" s="2">
        <f>(($BB$19*MAX((MIN($BB$4,7)-D73),0))/MIN($BB$4,7))</f>
      </c>
      <c r="AA73" s="2">
        <f>MAX((X73-Z73),0)</f>
      </c>
      <c r="AB73" s="2">
        <f>AA73</f>
      </c>
      <c r="AC73" s="2">
        <f>((MIN(D73,$BB$4)*k_freq)*$BB$14)</f>
      </c>
      <c r="AD73" s="2">
        <f>IF(AC73=0,0,AB73/AC73)</f>
      </c>
    </row>
    <row r="74">
      <c r="D74" s="1">
        <v>71</v>
      </c>
      <c r="E74" s="1">
        <f>x_age+D74</f>
      </c>
      <c r="F74" s="3">
        <v>0</v>
      </c>
      <c r="G74" s="3">
        <v>0</v>
      </c>
      <c r="H74" s="3">
        <v>0</v>
      </c>
      <c r="I74" s="3">
        <f>v_disc^(D74)</f>
      </c>
      <c r="J74" s="3">
        <f>v_disc^(D74+0.5)</f>
      </c>
      <c r="K74" s="2">
        <f>MIN(1,((F74+G74)-((F74*G74)/2)))</f>
      </c>
      <c r="L74" s="2">
        <f>(L73*(1-K73))</f>
      </c>
      <c r="M74" s="2">
        <f>(1-((1-G74)*(1-H74)))</f>
      </c>
      <c r="N74" s="2">
        <f>MIN(1,((F74+M74)-((F74*M74)/2)))</f>
      </c>
      <c r="O74" s="2">
        <f>(O73*(1-N73))</f>
      </c>
      <c r="P74" s="2">
        <f>(L74*K74)</f>
      </c>
      <c r="Q74" s="2">
        <f>(L74*I74)</f>
      </c>
      <c r="R74" s="2">
        <f>(O74*I74)</f>
      </c>
      <c r="S74" s="2">
        <f>SUM(Q74:Q74)</f>
      </c>
      <c r="T74" s="2">
        <f>SUM(R74:R74)</f>
      </c>
      <c r="U74" s="2">
        <f>1</f>
      </c>
      <c r="V74" s="2">
        <f>((L74*K74)*J74)</f>
      </c>
      <c r="W74" s="2">
        <f>0</f>
      </c>
      <c r="X74" s="2">
        <f>IF(Q74=0,0,((W74+(betaPrime*(S74-S74)))-(($BB$18*(T74-T23))*(D74&lt;=$BB$4)))/Q74)</f>
      </c>
      <c r="Y74" s="4">
        <f>ROUND((X74*100000),0)</f>
      </c>
      <c r="Z74" s="2">
        <f>(($BB$19*MAX((MIN($BB$4,7)-D74),0))/MIN($BB$4,7))</f>
      </c>
      <c r="AA74" s="2">
        <f>MAX((X74-Z74),0)</f>
      </c>
      <c r="AB74" s="2">
        <f>AA74</f>
      </c>
      <c r="AC74" s="2">
        <f>((MIN(D74,$BB$4)*k_freq)*$BB$14)</f>
      </c>
      <c r="AD74" s="2">
        <f>IF(AC74=0,0,AB74/AC74)</f>
      </c>
    </row>
  </sheetData>
</worksheet>
</file>