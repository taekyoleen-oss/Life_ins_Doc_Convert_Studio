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 App Project\Life_ins_Doc_Convert_Studio\samples\"/>
    </mc:Choice>
  </mc:AlternateContent>
  <xr:revisionPtr revIDLastSave="0" documentId="13_ncr:1_{559B55F0-4C29-4B72-8DF2-3099D1D8D2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설명" sheetId="1" r:id="rId1"/>
    <sheet name="보험료" sheetId="2" r:id="rId2"/>
    <sheet name="입력" sheetId="3" r:id="rId3"/>
    <sheet name="위험률" sheetId="4" r:id="rId4"/>
    <sheet name="기수_사망장해" sheetId="5" r:id="rId5"/>
    <sheet name="기수_암진단" sheetId="6" r:id="rId6"/>
  </sheets>
  <definedNames>
    <definedName name="가입나이">입력!$B$4</definedName>
    <definedName name="감마">입력!$B$13</definedName>
    <definedName name="납입기간">입력!$B$5</definedName>
    <definedName name="납입주기">입력!$B$6</definedName>
    <definedName name="베타G">입력!$B$11</definedName>
    <definedName name="베타S">입력!$B$10</definedName>
    <definedName name="베타후">입력!$B$12</definedName>
    <definedName name="보험기간">입력!$B$7</definedName>
    <definedName name="알파P">입력!$B$9</definedName>
    <definedName name="알파S">입력!$B$8</definedName>
    <definedName name="이율">입력!$B$2</definedName>
    <definedName name="현가율">입력!$B$3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7" i="6" l="1"/>
  <c r="B77" i="6"/>
  <c r="L76" i="6"/>
  <c r="B76" i="6"/>
  <c r="L75" i="6"/>
  <c r="B75" i="6"/>
  <c r="L74" i="6"/>
  <c r="B74" i="6"/>
  <c r="L73" i="6"/>
  <c r="B73" i="6"/>
  <c r="L72" i="6"/>
  <c r="B72" i="6"/>
  <c r="L71" i="6"/>
  <c r="B71" i="6"/>
  <c r="L70" i="6"/>
  <c r="B70" i="6"/>
  <c r="L69" i="6"/>
  <c r="B69" i="6"/>
  <c r="L68" i="6"/>
  <c r="B68" i="6"/>
  <c r="L67" i="6"/>
  <c r="B67" i="6"/>
  <c r="L66" i="6"/>
  <c r="B66" i="6"/>
  <c r="L65" i="6"/>
  <c r="B65" i="6"/>
  <c r="L64" i="6"/>
  <c r="B64" i="6"/>
  <c r="L63" i="6"/>
  <c r="B63" i="6"/>
  <c r="L62" i="6"/>
  <c r="B62" i="6"/>
  <c r="L61" i="6"/>
  <c r="B61" i="6"/>
  <c r="L60" i="6"/>
  <c r="B60" i="6"/>
  <c r="L59" i="6"/>
  <c r="B59" i="6"/>
  <c r="L58" i="6"/>
  <c r="B58" i="6"/>
  <c r="L57" i="6"/>
  <c r="B57" i="6"/>
  <c r="L56" i="6"/>
  <c r="B56" i="6"/>
  <c r="L55" i="6"/>
  <c r="B55" i="6"/>
  <c r="L54" i="6"/>
  <c r="B54" i="6"/>
  <c r="L53" i="6"/>
  <c r="B53" i="6"/>
  <c r="L52" i="6"/>
  <c r="B52" i="6"/>
  <c r="L51" i="6"/>
  <c r="B51" i="6"/>
  <c r="L50" i="6"/>
  <c r="B50" i="6"/>
  <c r="L49" i="6"/>
  <c r="B49" i="6"/>
  <c r="L48" i="6"/>
  <c r="B48" i="6"/>
  <c r="L47" i="6"/>
  <c r="B47" i="6"/>
  <c r="L46" i="6"/>
  <c r="B46" i="6"/>
  <c r="L45" i="6"/>
  <c r="B45" i="6"/>
  <c r="L44" i="6"/>
  <c r="B44" i="6"/>
  <c r="L43" i="6"/>
  <c r="B43" i="6"/>
  <c r="L42" i="6"/>
  <c r="B42" i="6"/>
  <c r="L41" i="6"/>
  <c r="B41" i="6"/>
  <c r="L40" i="6"/>
  <c r="B40" i="6"/>
  <c r="L39" i="6"/>
  <c r="B39" i="6"/>
  <c r="L38" i="6"/>
  <c r="B38" i="6"/>
  <c r="L37" i="6"/>
  <c r="B37" i="6"/>
  <c r="L36" i="6"/>
  <c r="B36" i="6"/>
  <c r="L35" i="6"/>
  <c r="B35" i="6"/>
  <c r="L34" i="6"/>
  <c r="B34" i="6"/>
  <c r="L33" i="6"/>
  <c r="B33" i="6"/>
  <c r="L32" i="6"/>
  <c r="B32" i="6"/>
  <c r="L31" i="6"/>
  <c r="B31" i="6"/>
  <c r="L30" i="6"/>
  <c r="B30" i="6"/>
  <c r="L29" i="6"/>
  <c r="B29" i="6"/>
  <c r="L28" i="6"/>
  <c r="B28" i="6"/>
  <c r="L27" i="6"/>
  <c r="B27" i="6"/>
  <c r="L26" i="6"/>
  <c r="B26" i="6"/>
  <c r="L25" i="6"/>
  <c r="B25" i="6"/>
  <c r="L24" i="6"/>
  <c r="B24" i="6"/>
  <c r="L23" i="6"/>
  <c r="B23" i="6"/>
  <c r="L22" i="6"/>
  <c r="B22" i="6"/>
  <c r="L21" i="6"/>
  <c r="B21" i="6"/>
  <c r="L20" i="6"/>
  <c r="B20" i="6"/>
  <c r="L19" i="6"/>
  <c r="B19" i="6"/>
  <c r="L18" i="6"/>
  <c r="B18" i="6"/>
  <c r="L17" i="6"/>
  <c r="B17" i="6"/>
  <c r="B16" i="6"/>
  <c r="E8" i="6"/>
  <c r="B7" i="6"/>
  <c r="L16" i="6" s="1"/>
  <c r="L87" i="5"/>
  <c r="B87" i="5"/>
  <c r="L86" i="5"/>
  <c r="B86" i="5"/>
  <c r="L85" i="5"/>
  <c r="B85" i="5"/>
  <c r="L84" i="5"/>
  <c r="B84" i="5"/>
  <c r="L83" i="5"/>
  <c r="B83" i="5"/>
  <c r="L82" i="5"/>
  <c r="B82" i="5"/>
  <c r="L81" i="5"/>
  <c r="B81" i="5"/>
  <c r="L80" i="5"/>
  <c r="B80" i="5"/>
  <c r="L79" i="5"/>
  <c r="B79" i="5"/>
  <c r="L78" i="5"/>
  <c r="B78" i="5"/>
  <c r="L77" i="5"/>
  <c r="B77" i="5"/>
  <c r="L76" i="5"/>
  <c r="B76" i="5"/>
  <c r="L75" i="5"/>
  <c r="B75" i="5"/>
  <c r="L74" i="5"/>
  <c r="B74" i="5"/>
  <c r="L73" i="5"/>
  <c r="B73" i="5"/>
  <c r="L72" i="5"/>
  <c r="B72" i="5"/>
  <c r="L71" i="5"/>
  <c r="B71" i="5"/>
  <c r="L70" i="5"/>
  <c r="B70" i="5"/>
  <c r="L69" i="5"/>
  <c r="B69" i="5"/>
  <c r="L68" i="5"/>
  <c r="B68" i="5"/>
  <c r="L67" i="5"/>
  <c r="B67" i="5"/>
  <c r="L66" i="5"/>
  <c r="B66" i="5"/>
  <c r="L65" i="5"/>
  <c r="B65" i="5"/>
  <c r="L64" i="5"/>
  <c r="B64" i="5"/>
  <c r="L63" i="5"/>
  <c r="B63" i="5"/>
  <c r="L62" i="5"/>
  <c r="B62" i="5"/>
  <c r="L61" i="5"/>
  <c r="B61" i="5"/>
  <c r="L60" i="5"/>
  <c r="B60" i="5"/>
  <c r="L59" i="5"/>
  <c r="B59" i="5"/>
  <c r="L58" i="5"/>
  <c r="B58" i="5"/>
  <c r="L57" i="5"/>
  <c r="B57" i="5"/>
  <c r="L56" i="5"/>
  <c r="B56" i="5"/>
  <c r="L55" i="5"/>
  <c r="B55" i="5"/>
  <c r="L54" i="5"/>
  <c r="B54" i="5"/>
  <c r="L53" i="5"/>
  <c r="B53" i="5"/>
  <c r="L52" i="5"/>
  <c r="B52" i="5"/>
  <c r="L51" i="5"/>
  <c r="B51" i="5"/>
  <c r="L50" i="5"/>
  <c r="B50" i="5"/>
  <c r="L49" i="5"/>
  <c r="B49" i="5"/>
  <c r="L48" i="5"/>
  <c r="B48" i="5"/>
  <c r="L47" i="5"/>
  <c r="B47" i="5"/>
  <c r="L46" i="5"/>
  <c r="B46" i="5"/>
  <c r="L45" i="5"/>
  <c r="B45" i="5"/>
  <c r="L44" i="5"/>
  <c r="B44" i="5"/>
  <c r="L43" i="5"/>
  <c r="B43" i="5"/>
  <c r="L42" i="5"/>
  <c r="B42" i="5"/>
  <c r="L41" i="5"/>
  <c r="B41" i="5"/>
  <c r="L40" i="5"/>
  <c r="B40" i="5"/>
  <c r="L39" i="5"/>
  <c r="B39" i="5"/>
  <c r="L38" i="5"/>
  <c r="B38" i="5"/>
  <c r="L37" i="5"/>
  <c r="B37" i="5"/>
  <c r="L36" i="5"/>
  <c r="B36" i="5"/>
  <c r="L35" i="5"/>
  <c r="B35" i="5"/>
  <c r="L34" i="5"/>
  <c r="B34" i="5"/>
  <c r="L33" i="5"/>
  <c r="B33" i="5"/>
  <c r="L32" i="5"/>
  <c r="B32" i="5"/>
  <c r="L31" i="5"/>
  <c r="B31" i="5"/>
  <c r="L30" i="5"/>
  <c r="B30" i="5"/>
  <c r="L29" i="5"/>
  <c r="B29" i="5"/>
  <c r="L28" i="5"/>
  <c r="B28" i="5"/>
  <c r="L27" i="5"/>
  <c r="B27" i="5"/>
  <c r="L26" i="5"/>
  <c r="B26" i="5"/>
  <c r="L25" i="5"/>
  <c r="B25" i="5"/>
  <c r="L24" i="5"/>
  <c r="B24" i="5"/>
  <c r="L23" i="5"/>
  <c r="B23" i="5"/>
  <c r="L22" i="5"/>
  <c r="B22" i="5"/>
  <c r="L21" i="5"/>
  <c r="B21" i="5"/>
  <c r="L20" i="5"/>
  <c r="B20" i="5"/>
  <c r="L19" i="5"/>
  <c r="B19" i="5"/>
  <c r="L18" i="5"/>
  <c r="B18" i="5"/>
  <c r="L17" i="5"/>
  <c r="B17" i="5"/>
  <c r="B16" i="5"/>
  <c r="E8" i="5"/>
  <c r="B7" i="5"/>
  <c r="L16" i="5" s="1"/>
  <c r="B7" i="3"/>
  <c r="D3" i="3"/>
  <c r="B3" i="3"/>
  <c r="J4" i="2"/>
  <c r="A3" i="2"/>
  <c r="A2" i="2"/>
  <c r="E77" i="6" l="1"/>
  <c r="D77" i="6"/>
  <c r="C77" i="6"/>
  <c r="F77" i="6" s="1"/>
  <c r="E76" i="6"/>
  <c r="D76" i="6"/>
  <c r="C76" i="6"/>
  <c r="F76" i="6" s="1"/>
  <c r="E75" i="6"/>
  <c r="D75" i="6"/>
  <c r="C75" i="6"/>
  <c r="F75" i="6" s="1"/>
  <c r="E74" i="6"/>
  <c r="D74" i="6"/>
  <c r="C74" i="6"/>
  <c r="F74" i="6" s="1"/>
  <c r="E73" i="6"/>
  <c r="D73" i="6"/>
  <c r="C73" i="6"/>
  <c r="F73" i="6" s="1"/>
  <c r="E72" i="6"/>
  <c r="D72" i="6"/>
  <c r="C72" i="6"/>
  <c r="F72" i="6" s="1"/>
  <c r="E71" i="6"/>
  <c r="D71" i="6"/>
  <c r="C71" i="6"/>
  <c r="F71" i="6" s="1"/>
  <c r="E70" i="6"/>
  <c r="D70" i="6"/>
  <c r="C70" i="6"/>
  <c r="F70" i="6" s="1"/>
  <c r="E69" i="6"/>
  <c r="D69" i="6"/>
  <c r="C69" i="6"/>
  <c r="F69" i="6" s="1"/>
  <c r="E68" i="6"/>
  <c r="D68" i="6"/>
  <c r="C68" i="6"/>
  <c r="F68" i="6" s="1"/>
  <c r="E67" i="6"/>
  <c r="D67" i="6"/>
  <c r="C67" i="6"/>
  <c r="F67" i="6" s="1"/>
  <c r="E66" i="6"/>
  <c r="D66" i="6"/>
  <c r="C66" i="6"/>
  <c r="F66" i="6" s="1"/>
  <c r="E65" i="6"/>
  <c r="D65" i="6"/>
  <c r="C65" i="6"/>
  <c r="F65" i="6" s="1"/>
  <c r="E64" i="6"/>
  <c r="D64" i="6"/>
  <c r="C64" i="6"/>
  <c r="F64" i="6" s="1"/>
  <c r="E63" i="6"/>
  <c r="D63" i="6"/>
  <c r="C63" i="6"/>
  <c r="F63" i="6" s="1"/>
  <c r="E62" i="6"/>
  <c r="D62" i="6"/>
  <c r="C62" i="6"/>
  <c r="E61" i="6"/>
  <c r="D61" i="6"/>
  <c r="C61" i="6"/>
  <c r="F61" i="6" s="1"/>
  <c r="C60" i="6"/>
  <c r="E60" i="6"/>
  <c r="D60" i="6"/>
  <c r="E59" i="6"/>
  <c r="D59" i="6"/>
  <c r="C59" i="6"/>
  <c r="F59" i="6" s="1"/>
  <c r="E58" i="6"/>
  <c r="D58" i="6"/>
  <c r="C58" i="6"/>
  <c r="F58" i="6" s="1"/>
  <c r="E57" i="6"/>
  <c r="D57" i="6"/>
  <c r="C57" i="6"/>
  <c r="F57" i="6" s="1"/>
  <c r="E56" i="6"/>
  <c r="D56" i="6"/>
  <c r="C56" i="6"/>
  <c r="F56" i="6" s="1"/>
  <c r="E55" i="6"/>
  <c r="D55" i="6"/>
  <c r="C55" i="6"/>
  <c r="F55" i="6" s="1"/>
  <c r="E54" i="6"/>
  <c r="C54" i="6"/>
  <c r="D54" i="6"/>
  <c r="E53" i="6"/>
  <c r="D53" i="6"/>
  <c r="C53" i="6"/>
  <c r="F53" i="6" s="1"/>
  <c r="E52" i="6"/>
  <c r="D52" i="6"/>
  <c r="C52" i="6"/>
  <c r="F52" i="6" s="1"/>
  <c r="E51" i="6"/>
  <c r="D51" i="6"/>
  <c r="C51" i="6"/>
  <c r="F51" i="6" s="1"/>
  <c r="D50" i="6"/>
  <c r="C50" i="6"/>
  <c r="F50" i="6" s="1"/>
  <c r="E50" i="6"/>
  <c r="E49" i="6"/>
  <c r="D49" i="6"/>
  <c r="C49" i="6"/>
  <c r="F49" i="6" s="1"/>
  <c r="D48" i="6"/>
  <c r="C48" i="6"/>
  <c r="F48" i="6" s="1"/>
  <c r="E48" i="6"/>
  <c r="E47" i="6"/>
  <c r="D47" i="6"/>
  <c r="C47" i="6"/>
  <c r="F47" i="6" s="1"/>
  <c r="C46" i="6"/>
  <c r="D46" i="6"/>
  <c r="E46" i="6"/>
  <c r="E45" i="6"/>
  <c r="D45" i="6"/>
  <c r="C45" i="6"/>
  <c r="F45" i="6" s="1"/>
  <c r="E44" i="6"/>
  <c r="D44" i="6"/>
  <c r="C44" i="6"/>
  <c r="F44" i="6" s="1"/>
  <c r="E43" i="6"/>
  <c r="C43" i="6"/>
  <c r="D43" i="6"/>
  <c r="C42" i="6"/>
  <c r="D42" i="6"/>
  <c r="E42" i="6"/>
  <c r="D41" i="6"/>
  <c r="C41" i="6"/>
  <c r="F41" i="6" s="1"/>
  <c r="E41" i="6"/>
  <c r="C40" i="6"/>
  <c r="D40" i="6"/>
  <c r="E40" i="6"/>
  <c r="C39" i="6"/>
  <c r="D39" i="6"/>
  <c r="E39" i="6"/>
  <c r="D38" i="6"/>
  <c r="C38" i="6"/>
  <c r="E38" i="6"/>
  <c r="E37" i="6"/>
  <c r="D37" i="6"/>
  <c r="C37" i="6"/>
  <c r="F37" i="6" s="1"/>
  <c r="D36" i="6"/>
  <c r="E36" i="6"/>
  <c r="C36" i="6"/>
  <c r="F36" i="6" s="1"/>
  <c r="C35" i="6"/>
  <c r="D35" i="6"/>
  <c r="E35" i="6"/>
  <c r="C34" i="6"/>
  <c r="D34" i="6"/>
  <c r="E34" i="6"/>
  <c r="C33" i="6"/>
  <c r="D33" i="6"/>
  <c r="E33" i="6"/>
  <c r="E32" i="6"/>
  <c r="D32" i="6"/>
  <c r="C32" i="6"/>
  <c r="F32" i="6" s="1"/>
  <c r="C31" i="6"/>
  <c r="E31" i="6"/>
  <c r="D31" i="6"/>
  <c r="C30" i="6"/>
  <c r="D30" i="6"/>
  <c r="E30" i="6"/>
  <c r="C29" i="6"/>
  <c r="D29" i="6"/>
  <c r="E29" i="6"/>
  <c r="C28" i="6"/>
  <c r="D28" i="6"/>
  <c r="E28" i="6"/>
  <c r="C27" i="6"/>
  <c r="E27" i="6"/>
  <c r="D27" i="6"/>
  <c r="C26" i="6"/>
  <c r="E26" i="6"/>
  <c r="D26" i="6"/>
  <c r="E25" i="6"/>
  <c r="D25" i="6"/>
  <c r="C25" i="6"/>
  <c r="F25" i="6" s="1"/>
  <c r="E24" i="6"/>
  <c r="D24" i="6"/>
  <c r="C24" i="6"/>
  <c r="F24" i="6" s="1"/>
  <c r="C23" i="6"/>
  <c r="D23" i="6"/>
  <c r="E23" i="6"/>
  <c r="C22" i="6"/>
  <c r="D22" i="6"/>
  <c r="E22" i="6"/>
  <c r="C21" i="6"/>
  <c r="D21" i="6"/>
  <c r="E21" i="6"/>
  <c r="C20" i="6"/>
  <c r="D20" i="6"/>
  <c r="E20" i="6"/>
  <c r="C19" i="6"/>
  <c r="D19" i="6"/>
  <c r="E19" i="6"/>
  <c r="D18" i="6"/>
  <c r="C18" i="6"/>
  <c r="F18" i="6" s="1"/>
  <c r="E18" i="6"/>
  <c r="C17" i="6"/>
  <c r="D17" i="6"/>
  <c r="E17" i="6"/>
  <c r="C16" i="6"/>
  <c r="D16" i="6"/>
  <c r="K16" i="6" s="1"/>
  <c r="E16" i="6"/>
  <c r="C87" i="5"/>
  <c r="D87" i="5"/>
  <c r="E87" i="5"/>
  <c r="C86" i="5"/>
  <c r="D86" i="5"/>
  <c r="E86" i="5"/>
  <c r="D85" i="5"/>
  <c r="E85" i="5"/>
  <c r="C85" i="5"/>
  <c r="F85" i="5" s="1"/>
  <c r="C84" i="5"/>
  <c r="E84" i="5"/>
  <c r="D84" i="5"/>
  <c r="D83" i="5"/>
  <c r="C83" i="5"/>
  <c r="F83" i="5" s="1"/>
  <c r="E83" i="5"/>
  <c r="E82" i="5"/>
  <c r="D82" i="5"/>
  <c r="C82" i="5"/>
  <c r="D81" i="5"/>
  <c r="E81" i="5"/>
  <c r="C81" i="5"/>
  <c r="F81" i="5" s="1"/>
  <c r="E80" i="5"/>
  <c r="D80" i="5"/>
  <c r="C80" i="5"/>
  <c r="F80" i="5" s="1"/>
  <c r="D79" i="5"/>
  <c r="C79" i="5"/>
  <c r="F79" i="5" s="1"/>
  <c r="E79" i="5"/>
  <c r="C78" i="5"/>
  <c r="D78" i="5"/>
  <c r="E78" i="5"/>
  <c r="C77" i="5"/>
  <c r="D77" i="5"/>
  <c r="E77" i="5"/>
  <c r="E76" i="5"/>
  <c r="C76" i="5"/>
  <c r="D76" i="5"/>
  <c r="C75" i="5"/>
  <c r="E75" i="5"/>
  <c r="D75" i="5"/>
  <c r="C74" i="5"/>
  <c r="E74" i="5"/>
  <c r="D74" i="5"/>
  <c r="E73" i="5"/>
  <c r="C73" i="5"/>
  <c r="D73" i="5"/>
  <c r="E72" i="5"/>
  <c r="D72" i="5"/>
  <c r="C72" i="5"/>
  <c r="F72" i="5" s="1"/>
  <c r="D71" i="5"/>
  <c r="E71" i="5"/>
  <c r="C71" i="5"/>
  <c r="F71" i="5" s="1"/>
  <c r="C70" i="5"/>
  <c r="E70" i="5"/>
  <c r="D70" i="5"/>
  <c r="C69" i="5"/>
  <c r="D69" i="5"/>
  <c r="E69" i="5"/>
  <c r="D68" i="5"/>
  <c r="C68" i="5"/>
  <c r="F68" i="5" s="1"/>
  <c r="E68" i="5"/>
  <c r="C67" i="5"/>
  <c r="E67" i="5"/>
  <c r="D67" i="5"/>
  <c r="D66" i="5"/>
  <c r="E66" i="5"/>
  <c r="C66" i="5"/>
  <c r="F66" i="5" s="1"/>
  <c r="D65" i="5"/>
  <c r="E65" i="5"/>
  <c r="C65" i="5"/>
  <c r="F65" i="5" s="1"/>
  <c r="C64" i="5"/>
  <c r="D64" i="5"/>
  <c r="E64" i="5"/>
  <c r="C63" i="5"/>
  <c r="E63" i="5"/>
  <c r="D63" i="5"/>
  <c r="D62" i="5"/>
  <c r="E62" i="5"/>
  <c r="C62" i="5"/>
  <c r="F62" i="5" s="1"/>
  <c r="C61" i="5"/>
  <c r="D61" i="5"/>
  <c r="E61" i="5"/>
  <c r="C60" i="5"/>
  <c r="E60" i="5"/>
  <c r="D60" i="5"/>
  <c r="E59" i="5"/>
  <c r="D59" i="5"/>
  <c r="C59" i="5"/>
  <c r="F59" i="5" s="1"/>
  <c r="C58" i="5"/>
  <c r="D58" i="5"/>
  <c r="E58" i="5"/>
  <c r="C57" i="5"/>
  <c r="D57" i="5"/>
  <c r="E57" i="5"/>
  <c r="E56" i="5"/>
  <c r="C56" i="5"/>
  <c r="D56" i="5"/>
  <c r="E55" i="5"/>
  <c r="C55" i="5"/>
  <c r="D55" i="5"/>
  <c r="E54" i="5"/>
  <c r="C54" i="5"/>
  <c r="D54" i="5"/>
  <c r="D53" i="5"/>
  <c r="C53" i="5"/>
  <c r="F53" i="5" s="1"/>
  <c r="E53" i="5"/>
  <c r="C52" i="5"/>
  <c r="E52" i="5"/>
  <c r="D52" i="5"/>
  <c r="D51" i="5"/>
  <c r="E51" i="5"/>
  <c r="C51" i="5"/>
  <c r="F51" i="5" s="1"/>
  <c r="D50" i="5"/>
  <c r="C50" i="5"/>
  <c r="F50" i="5" s="1"/>
  <c r="E50" i="5"/>
  <c r="D49" i="5"/>
  <c r="C49" i="5"/>
  <c r="F49" i="5" s="1"/>
  <c r="E49" i="5"/>
  <c r="E48" i="5"/>
  <c r="C48" i="5"/>
  <c r="D48" i="5"/>
  <c r="E47" i="5"/>
  <c r="D47" i="5"/>
  <c r="C47" i="5"/>
  <c r="F47" i="5" s="1"/>
  <c r="E46" i="5"/>
  <c r="D46" i="5"/>
  <c r="C46" i="5"/>
  <c r="F46" i="5" s="1"/>
  <c r="E45" i="5"/>
  <c r="D45" i="5"/>
  <c r="C45" i="5"/>
  <c r="F45" i="5" s="1"/>
  <c r="E44" i="5"/>
  <c r="D44" i="5"/>
  <c r="C44" i="5"/>
  <c r="F44" i="5" s="1"/>
  <c r="E43" i="5"/>
  <c r="D43" i="5"/>
  <c r="C43" i="5"/>
  <c r="F43" i="5" s="1"/>
  <c r="E42" i="5"/>
  <c r="D42" i="5"/>
  <c r="C42" i="5"/>
  <c r="F42" i="5" s="1"/>
  <c r="E41" i="5"/>
  <c r="D41" i="5"/>
  <c r="C41" i="5"/>
  <c r="F41" i="5" s="1"/>
  <c r="E40" i="5"/>
  <c r="D40" i="5"/>
  <c r="C40" i="5"/>
  <c r="F40" i="5" s="1"/>
  <c r="E39" i="5"/>
  <c r="D39" i="5"/>
  <c r="C39" i="5"/>
  <c r="F39" i="5" s="1"/>
  <c r="E38" i="5"/>
  <c r="D38" i="5"/>
  <c r="C38" i="5"/>
  <c r="F38" i="5" s="1"/>
  <c r="E37" i="5"/>
  <c r="D37" i="5"/>
  <c r="C37" i="5"/>
  <c r="F37" i="5" s="1"/>
  <c r="E36" i="5"/>
  <c r="D36" i="5"/>
  <c r="C36" i="5"/>
  <c r="F36" i="5" s="1"/>
  <c r="C35" i="5"/>
  <c r="E35" i="5"/>
  <c r="D35" i="5"/>
  <c r="E34" i="5"/>
  <c r="D34" i="5"/>
  <c r="C34" i="5"/>
  <c r="F34" i="5" s="1"/>
  <c r="E33" i="5"/>
  <c r="D33" i="5"/>
  <c r="C33" i="5"/>
  <c r="F33" i="5" s="1"/>
  <c r="D32" i="5"/>
  <c r="E32" i="5"/>
  <c r="C32" i="5"/>
  <c r="F32" i="5" s="1"/>
  <c r="E31" i="5"/>
  <c r="D31" i="5"/>
  <c r="C31" i="5"/>
  <c r="F31" i="5" s="1"/>
  <c r="E30" i="5"/>
  <c r="D30" i="5"/>
  <c r="C30" i="5"/>
  <c r="F30" i="5" s="1"/>
  <c r="E29" i="5"/>
  <c r="D29" i="5"/>
  <c r="C29" i="5"/>
  <c r="F29" i="5" s="1"/>
  <c r="E28" i="5"/>
  <c r="D28" i="5"/>
  <c r="C28" i="5"/>
  <c r="F28" i="5" s="1"/>
  <c r="E27" i="5"/>
  <c r="D27" i="5"/>
  <c r="C27" i="5"/>
  <c r="F27" i="5" s="1"/>
  <c r="E26" i="5"/>
  <c r="D26" i="5"/>
  <c r="C26" i="5"/>
  <c r="F26" i="5" s="1"/>
  <c r="E25" i="5"/>
  <c r="D25" i="5"/>
  <c r="C25" i="5"/>
  <c r="F25" i="5" s="1"/>
  <c r="E24" i="5"/>
  <c r="D24" i="5"/>
  <c r="C24" i="5"/>
  <c r="F24" i="5" s="1"/>
  <c r="E23" i="5"/>
  <c r="D23" i="5"/>
  <c r="C23" i="5"/>
  <c r="F23" i="5" s="1"/>
  <c r="E22" i="5"/>
  <c r="D22" i="5"/>
  <c r="C22" i="5"/>
  <c r="F22" i="5" s="1"/>
  <c r="C21" i="5"/>
  <c r="E21" i="5"/>
  <c r="D21" i="5"/>
  <c r="E20" i="5"/>
  <c r="D20" i="5"/>
  <c r="C20" i="5"/>
  <c r="F20" i="5" s="1"/>
  <c r="E19" i="5"/>
  <c r="D19" i="5"/>
  <c r="C19" i="5"/>
  <c r="F19" i="5" s="1"/>
  <c r="E18" i="5"/>
  <c r="D18" i="5"/>
  <c r="C18" i="5"/>
  <c r="F18" i="5" s="1"/>
  <c r="E17" i="5"/>
  <c r="D17" i="5"/>
  <c r="C17" i="5"/>
  <c r="F17" i="5" s="1"/>
  <c r="E16" i="5"/>
  <c r="D16" i="5"/>
  <c r="C16" i="5"/>
  <c r="F16" i="5" s="1"/>
  <c r="B4" i="6"/>
  <c r="B4" i="5"/>
  <c r="J16" i="6"/>
  <c r="J16" i="5"/>
  <c r="I16" i="5"/>
  <c r="I16" i="6"/>
  <c r="F62" i="6" l="1"/>
  <c r="F40" i="6"/>
  <c r="F29" i="6"/>
  <c r="F26" i="6"/>
  <c r="F87" i="5"/>
  <c r="F86" i="5"/>
  <c r="F82" i="5"/>
  <c r="K16" i="5"/>
  <c r="G17" i="5"/>
  <c r="H17" i="5"/>
  <c r="E6" i="6"/>
  <c r="B5" i="6"/>
  <c r="B3" i="2"/>
  <c r="B5" i="5"/>
  <c r="E6" i="5"/>
  <c r="B2" i="2"/>
  <c r="F35" i="6"/>
  <c r="F34" i="6"/>
  <c r="F33" i="6"/>
  <c r="F31" i="6"/>
  <c r="F28" i="6"/>
  <c r="F27" i="6"/>
  <c r="F60" i="6"/>
  <c r="F54" i="6"/>
  <c r="F46" i="6"/>
  <c r="F84" i="5"/>
  <c r="F43" i="6"/>
  <c r="F42" i="6"/>
  <c r="F39" i="6"/>
  <c r="F38" i="6"/>
  <c r="F30" i="6"/>
  <c r="F23" i="6"/>
  <c r="F22" i="6"/>
  <c r="F21" i="6"/>
  <c r="F20" i="6"/>
  <c r="F19" i="6"/>
  <c r="F17" i="6"/>
  <c r="F16" i="6"/>
  <c r="F78" i="5"/>
  <c r="F77" i="5"/>
  <c r="F76" i="5"/>
  <c r="F75" i="5"/>
  <c r="F74" i="5"/>
  <c r="F73" i="5"/>
  <c r="F70" i="5"/>
  <c r="F69" i="5"/>
  <c r="F67" i="5"/>
  <c r="F64" i="5"/>
  <c r="F63" i="5"/>
  <c r="F61" i="5"/>
  <c r="F60" i="5"/>
  <c r="F58" i="5"/>
  <c r="F57" i="5"/>
  <c r="F56" i="5"/>
  <c r="F55" i="5"/>
  <c r="F54" i="5"/>
  <c r="F52" i="5"/>
  <c r="F48" i="5"/>
  <c r="F35" i="5"/>
  <c r="F21" i="5"/>
  <c r="I17" i="5" l="1"/>
  <c r="K17" i="5"/>
  <c r="G18" i="5"/>
  <c r="J17" i="5"/>
  <c r="H18" i="5"/>
  <c r="C3" i="2"/>
  <c r="C2" i="2"/>
  <c r="H17" i="6"/>
  <c r="G17" i="6"/>
  <c r="I18" i="5" l="1"/>
  <c r="K18" i="5"/>
  <c r="G19" i="5"/>
  <c r="J18" i="5"/>
  <c r="H19" i="5"/>
  <c r="J17" i="6"/>
  <c r="H18" i="6"/>
  <c r="I17" i="6"/>
  <c r="K17" i="6"/>
  <c r="G18" i="6"/>
  <c r="I19" i="5" l="1"/>
  <c r="K19" i="5"/>
  <c r="G20" i="5"/>
  <c r="J19" i="5"/>
  <c r="H20" i="5"/>
  <c r="J18" i="6"/>
  <c r="H19" i="6"/>
  <c r="I18" i="6"/>
  <c r="K18" i="6"/>
  <c r="G19" i="6"/>
  <c r="I20" i="5" l="1"/>
  <c r="K20" i="5"/>
  <c r="G21" i="5"/>
  <c r="J20" i="5"/>
  <c r="H21" i="5"/>
  <c r="J19" i="6"/>
  <c r="H20" i="6"/>
  <c r="I19" i="6"/>
  <c r="K19" i="6"/>
  <c r="G20" i="6"/>
  <c r="I21" i="5" l="1"/>
  <c r="K21" i="5"/>
  <c r="G22" i="5"/>
  <c r="J21" i="5"/>
  <c r="H22" i="5"/>
  <c r="J20" i="6"/>
  <c r="H21" i="6"/>
  <c r="I20" i="6"/>
  <c r="K20" i="6"/>
  <c r="G21" i="6"/>
  <c r="I22" i="5" l="1"/>
  <c r="K22" i="5"/>
  <c r="G23" i="5"/>
  <c r="J22" i="5"/>
  <c r="H23" i="5"/>
  <c r="J21" i="6"/>
  <c r="H22" i="6"/>
  <c r="I21" i="6"/>
  <c r="K21" i="6"/>
  <c r="G22" i="6"/>
  <c r="I23" i="5" l="1"/>
  <c r="K23" i="5"/>
  <c r="G24" i="5"/>
  <c r="J23" i="5"/>
  <c r="H24" i="5"/>
  <c r="J22" i="6"/>
  <c r="H23" i="6"/>
  <c r="I22" i="6"/>
  <c r="K22" i="6"/>
  <c r="G23" i="6"/>
  <c r="I24" i="5" l="1"/>
  <c r="K24" i="5"/>
  <c r="G25" i="5"/>
  <c r="J24" i="5"/>
  <c r="H25" i="5"/>
  <c r="J23" i="6"/>
  <c r="H24" i="6"/>
  <c r="I23" i="6"/>
  <c r="K23" i="6"/>
  <c r="G24" i="6"/>
  <c r="I25" i="5" l="1"/>
  <c r="K25" i="5"/>
  <c r="G26" i="5"/>
  <c r="J25" i="5"/>
  <c r="H26" i="5"/>
  <c r="J24" i="6"/>
  <c r="H25" i="6"/>
  <c r="I24" i="6"/>
  <c r="K24" i="6"/>
  <c r="G25" i="6"/>
  <c r="I26" i="5" l="1"/>
  <c r="K26" i="5"/>
  <c r="G27" i="5"/>
  <c r="J26" i="5"/>
  <c r="H27" i="5"/>
  <c r="J25" i="6"/>
  <c r="H26" i="6"/>
  <c r="I25" i="6"/>
  <c r="K25" i="6"/>
  <c r="G26" i="6"/>
  <c r="I27" i="5" l="1"/>
  <c r="K27" i="5"/>
  <c r="G28" i="5"/>
  <c r="J27" i="5"/>
  <c r="H28" i="5"/>
  <c r="J26" i="6"/>
  <c r="H27" i="6"/>
  <c r="I26" i="6"/>
  <c r="K26" i="6"/>
  <c r="G27" i="6"/>
  <c r="I28" i="5" l="1"/>
  <c r="K28" i="5"/>
  <c r="G29" i="5"/>
  <c r="J28" i="5"/>
  <c r="H29" i="5"/>
  <c r="J27" i="6"/>
  <c r="H28" i="6"/>
  <c r="I27" i="6"/>
  <c r="K27" i="6"/>
  <c r="G28" i="6"/>
  <c r="I29" i="5" l="1"/>
  <c r="K29" i="5"/>
  <c r="G30" i="5"/>
  <c r="J29" i="5"/>
  <c r="H30" i="5"/>
  <c r="J28" i="6"/>
  <c r="H29" i="6"/>
  <c r="I28" i="6"/>
  <c r="K28" i="6"/>
  <c r="G29" i="6"/>
  <c r="I30" i="5" l="1"/>
  <c r="K30" i="5"/>
  <c r="G31" i="5"/>
  <c r="J30" i="5"/>
  <c r="H31" i="5"/>
  <c r="J29" i="6"/>
  <c r="H30" i="6"/>
  <c r="I29" i="6"/>
  <c r="K29" i="6"/>
  <c r="G30" i="6"/>
  <c r="I31" i="5" l="1"/>
  <c r="K31" i="5"/>
  <c r="G32" i="5"/>
  <c r="J31" i="5"/>
  <c r="H32" i="5"/>
  <c r="J30" i="6"/>
  <c r="H31" i="6"/>
  <c r="I30" i="6"/>
  <c r="K30" i="6"/>
  <c r="G31" i="6"/>
  <c r="I32" i="5" l="1"/>
  <c r="K32" i="5"/>
  <c r="G33" i="5"/>
  <c r="J32" i="5"/>
  <c r="H33" i="5"/>
  <c r="J31" i="6"/>
  <c r="H32" i="6"/>
  <c r="I31" i="6"/>
  <c r="K31" i="6"/>
  <c r="G32" i="6"/>
  <c r="I33" i="5" l="1"/>
  <c r="K33" i="5"/>
  <c r="G34" i="5"/>
  <c r="J33" i="5"/>
  <c r="H34" i="5"/>
  <c r="J32" i="6"/>
  <c r="H33" i="6"/>
  <c r="I32" i="6"/>
  <c r="K32" i="6"/>
  <c r="G33" i="6"/>
  <c r="I34" i="5" l="1"/>
  <c r="K34" i="5"/>
  <c r="G35" i="5"/>
  <c r="J34" i="5"/>
  <c r="H35" i="5"/>
  <c r="J33" i="6"/>
  <c r="H34" i="6"/>
  <c r="I33" i="6"/>
  <c r="K33" i="6"/>
  <c r="G34" i="6"/>
  <c r="I35" i="5" l="1"/>
  <c r="K35" i="5"/>
  <c r="G36" i="5"/>
  <c r="J35" i="5"/>
  <c r="H36" i="5"/>
  <c r="J34" i="6"/>
  <c r="H35" i="6"/>
  <c r="I34" i="6"/>
  <c r="K34" i="6"/>
  <c r="G35" i="6"/>
  <c r="I36" i="5" l="1"/>
  <c r="K36" i="5"/>
  <c r="G37" i="5"/>
  <c r="J36" i="5"/>
  <c r="H37" i="5"/>
  <c r="J35" i="6"/>
  <c r="H36" i="6"/>
  <c r="I35" i="6"/>
  <c r="K35" i="6"/>
  <c r="G36" i="6"/>
  <c r="I37" i="5" l="1"/>
  <c r="K37" i="5"/>
  <c r="G38" i="5"/>
  <c r="J37" i="5"/>
  <c r="H38" i="5"/>
  <c r="J36" i="6"/>
  <c r="H37" i="6"/>
  <c r="I36" i="6"/>
  <c r="K36" i="6"/>
  <c r="G37" i="6"/>
  <c r="I38" i="5" l="1"/>
  <c r="K38" i="5"/>
  <c r="G39" i="5"/>
  <c r="J38" i="5"/>
  <c r="H39" i="5"/>
  <c r="J37" i="6"/>
  <c r="H38" i="6"/>
  <c r="I37" i="6"/>
  <c r="K37" i="6"/>
  <c r="G38" i="6"/>
  <c r="I39" i="5" l="1"/>
  <c r="K39" i="5"/>
  <c r="G40" i="5"/>
  <c r="J39" i="5"/>
  <c r="H40" i="5"/>
  <c r="J38" i="6"/>
  <c r="H39" i="6"/>
  <c r="I38" i="6"/>
  <c r="K38" i="6"/>
  <c r="G39" i="6"/>
  <c r="I40" i="5" l="1"/>
  <c r="K40" i="5"/>
  <c r="G41" i="5"/>
  <c r="J40" i="5"/>
  <c r="H41" i="5"/>
  <c r="J39" i="6"/>
  <c r="H40" i="6"/>
  <c r="I39" i="6"/>
  <c r="K39" i="6"/>
  <c r="G40" i="6"/>
  <c r="I41" i="5" l="1"/>
  <c r="K41" i="5"/>
  <c r="G42" i="5"/>
  <c r="J41" i="5"/>
  <c r="H42" i="5"/>
  <c r="J40" i="6"/>
  <c r="H41" i="6"/>
  <c r="I40" i="6"/>
  <c r="K40" i="6"/>
  <c r="G41" i="6"/>
  <c r="I42" i="5" l="1"/>
  <c r="K42" i="5"/>
  <c r="G43" i="5"/>
  <c r="J42" i="5"/>
  <c r="H43" i="5"/>
  <c r="J41" i="6"/>
  <c r="H42" i="6"/>
  <c r="I41" i="6"/>
  <c r="K41" i="6"/>
  <c r="G42" i="6"/>
  <c r="I43" i="5" l="1"/>
  <c r="K43" i="5"/>
  <c r="G44" i="5"/>
  <c r="J43" i="5"/>
  <c r="H44" i="5"/>
  <c r="J42" i="6"/>
  <c r="H43" i="6"/>
  <c r="I42" i="6"/>
  <c r="K42" i="6"/>
  <c r="G43" i="6"/>
  <c r="I44" i="5" l="1"/>
  <c r="K44" i="5"/>
  <c r="G45" i="5"/>
  <c r="J44" i="5"/>
  <c r="H45" i="5"/>
  <c r="J43" i="6"/>
  <c r="H44" i="6"/>
  <c r="I43" i="6"/>
  <c r="K43" i="6"/>
  <c r="G44" i="6"/>
  <c r="I45" i="5" l="1"/>
  <c r="K45" i="5"/>
  <c r="G46" i="5"/>
  <c r="J45" i="5"/>
  <c r="H46" i="5"/>
  <c r="J44" i="6"/>
  <c r="H45" i="6"/>
  <c r="I44" i="6"/>
  <c r="K44" i="6"/>
  <c r="G45" i="6"/>
  <c r="I46" i="5" l="1"/>
  <c r="K46" i="5"/>
  <c r="G47" i="5"/>
  <c r="J46" i="5"/>
  <c r="H47" i="5"/>
  <c r="J45" i="6"/>
  <c r="H46" i="6"/>
  <c r="I45" i="6"/>
  <c r="K45" i="6"/>
  <c r="G46" i="6"/>
  <c r="G48" i="5" l="1"/>
  <c r="I47" i="5"/>
  <c r="K47" i="5"/>
  <c r="J47" i="5"/>
  <c r="H48" i="5"/>
  <c r="J46" i="6"/>
  <c r="H47" i="6"/>
  <c r="I46" i="6"/>
  <c r="K46" i="6"/>
  <c r="G47" i="6"/>
  <c r="I48" i="5" l="1"/>
  <c r="K48" i="5"/>
  <c r="G49" i="5"/>
  <c r="J48" i="5"/>
  <c r="H49" i="5"/>
  <c r="J47" i="6"/>
  <c r="H48" i="6"/>
  <c r="I47" i="6"/>
  <c r="K47" i="6"/>
  <c r="G48" i="6"/>
  <c r="I49" i="5" l="1"/>
  <c r="K49" i="5"/>
  <c r="G50" i="5"/>
  <c r="J49" i="5"/>
  <c r="H50" i="5"/>
  <c r="J48" i="6"/>
  <c r="H49" i="6"/>
  <c r="I48" i="6"/>
  <c r="K48" i="6"/>
  <c r="G49" i="6"/>
  <c r="G51" i="5" l="1"/>
  <c r="I50" i="5"/>
  <c r="K50" i="5"/>
  <c r="J50" i="5"/>
  <c r="H51" i="5"/>
  <c r="J49" i="6"/>
  <c r="H50" i="6"/>
  <c r="I49" i="6"/>
  <c r="K49" i="6"/>
  <c r="G50" i="6"/>
  <c r="I51" i="5" l="1"/>
  <c r="K51" i="5"/>
  <c r="G52" i="5"/>
  <c r="J51" i="5"/>
  <c r="H52" i="5"/>
  <c r="J50" i="6"/>
  <c r="H51" i="6"/>
  <c r="I50" i="6"/>
  <c r="K50" i="6"/>
  <c r="G51" i="6"/>
  <c r="G53" i="5" l="1"/>
  <c r="I52" i="5"/>
  <c r="K52" i="5"/>
  <c r="H53" i="5"/>
  <c r="J52" i="5"/>
  <c r="J51" i="6"/>
  <c r="H52" i="6"/>
  <c r="I51" i="6"/>
  <c r="K51" i="6"/>
  <c r="G52" i="6"/>
  <c r="I53" i="5" l="1"/>
  <c r="K53" i="5"/>
  <c r="G54" i="5"/>
  <c r="J53" i="5"/>
  <c r="H54" i="5"/>
  <c r="J52" i="6"/>
  <c r="H53" i="6"/>
  <c r="I52" i="6"/>
  <c r="K52" i="6"/>
  <c r="G53" i="6"/>
  <c r="K54" i="5" l="1"/>
  <c r="I54" i="5"/>
  <c r="G55" i="5"/>
  <c r="J54" i="5"/>
  <c r="H55" i="5"/>
  <c r="J53" i="6"/>
  <c r="H54" i="6"/>
  <c r="I53" i="6"/>
  <c r="K53" i="6"/>
  <c r="G54" i="6"/>
  <c r="I55" i="5" l="1"/>
  <c r="K55" i="5"/>
  <c r="G56" i="5"/>
  <c r="J55" i="5"/>
  <c r="H56" i="5"/>
  <c r="J54" i="6"/>
  <c r="H55" i="6"/>
  <c r="I54" i="6"/>
  <c r="K54" i="6"/>
  <c r="G55" i="6"/>
  <c r="I56" i="5" l="1"/>
  <c r="K56" i="5"/>
  <c r="G57" i="5"/>
  <c r="H57" i="5"/>
  <c r="J56" i="5"/>
  <c r="J55" i="6"/>
  <c r="H56" i="6"/>
  <c r="I55" i="6"/>
  <c r="K55" i="6"/>
  <c r="G56" i="6"/>
  <c r="I57" i="5" l="1"/>
  <c r="K57" i="5"/>
  <c r="G58" i="5"/>
  <c r="J57" i="5"/>
  <c r="H58" i="5"/>
  <c r="J56" i="6"/>
  <c r="H57" i="6"/>
  <c r="I56" i="6"/>
  <c r="K56" i="6"/>
  <c r="G57" i="6"/>
  <c r="I58" i="5" l="1"/>
  <c r="G59" i="5"/>
  <c r="K58" i="5"/>
  <c r="H59" i="5"/>
  <c r="J58" i="5"/>
  <c r="J57" i="6"/>
  <c r="H58" i="6"/>
  <c r="I57" i="6"/>
  <c r="K57" i="6"/>
  <c r="G58" i="6"/>
  <c r="K59" i="5" l="1"/>
  <c r="I59" i="5"/>
  <c r="G60" i="5"/>
  <c r="H60" i="5"/>
  <c r="J59" i="5"/>
  <c r="J58" i="6"/>
  <c r="H59" i="6"/>
  <c r="I58" i="6"/>
  <c r="K58" i="6"/>
  <c r="G59" i="6"/>
  <c r="I60" i="5" l="1"/>
  <c r="K60" i="5"/>
  <c r="G61" i="5"/>
  <c r="J60" i="5"/>
  <c r="H61" i="5"/>
  <c r="J59" i="6"/>
  <c r="H60" i="6"/>
  <c r="I59" i="6"/>
  <c r="K59" i="6"/>
  <c r="G60" i="6"/>
  <c r="I61" i="5" l="1"/>
  <c r="G62" i="5"/>
  <c r="K61" i="5"/>
  <c r="J61" i="5"/>
  <c r="H62" i="5"/>
  <c r="J60" i="6"/>
  <c r="H61" i="6"/>
  <c r="I60" i="6"/>
  <c r="K60" i="6"/>
  <c r="G61" i="6"/>
  <c r="K62" i="5" l="1"/>
  <c r="I62" i="5"/>
  <c r="G63" i="5"/>
  <c r="H63" i="5"/>
  <c r="J62" i="5"/>
  <c r="J61" i="6"/>
  <c r="H62" i="6"/>
  <c r="I61" i="6"/>
  <c r="K61" i="6"/>
  <c r="G62" i="6"/>
  <c r="I63" i="5" l="1"/>
  <c r="K63" i="5"/>
  <c r="G64" i="5"/>
  <c r="J63" i="5"/>
  <c r="H64" i="5"/>
  <c r="J62" i="6"/>
  <c r="H63" i="6"/>
  <c r="I62" i="6"/>
  <c r="K62" i="6"/>
  <c r="G63" i="6"/>
  <c r="I64" i="5" l="1"/>
  <c r="K64" i="5"/>
  <c r="G65" i="5"/>
  <c r="J64" i="5"/>
  <c r="H65" i="5"/>
  <c r="J63" i="6"/>
  <c r="H64" i="6"/>
  <c r="I63" i="6"/>
  <c r="K63" i="6"/>
  <c r="G64" i="6"/>
  <c r="I65" i="5" l="1"/>
  <c r="G66" i="5"/>
  <c r="K65" i="5"/>
  <c r="H66" i="5"/>
  <c r="J65" i="5"/>
  <c r="J64" i="6"/>
  <c r="H65" i="6"/>
  <c r="I64" i="6"/>
  <c r="K64" i="6"/>
  <c r="G65" i="6"/>
  <c r="I66" i="5" l="1"/>
  <c r="K66" i="5"/>
  <c r="G67" i="5"/>
  <c r="J66" i="5"/>
  <c r="H67" i="5"/>
  <c r="J65" i="6"/>
  <c r="H66" i="6"/>
  <c r="I65" i="6"/>
  <c r="K65" i="6"/>
  <c r="G66" i="6"/>
  <c r="I67" i="5" l="1"/>
  <c r="G68" i="5"/>
  <c r="K67" i="5"/>
  <c r="J67" i="5"/>
  <c r="H68" i="5"/>
  <c r="J66" i="6"/>
  <c r="H67" i="6"/>
  <c r="I66" i="6"/>
  <c r="K66" i="6"/>
  <c r="G67" i="6"/>
  <c r="I68" i="5" l="1"/>
  <c r="K68" i="5"/>
  <c r="G69" i="5"/>
  <c r="J68" i="5"/>
  <c r="H69" i="5"/>
  <c r="J67" i="6"/>
  <c r="H68" i="6"/>
  <c r="I67" i="6"/>
  <c r="K67" i="6"/>
  <c r="G68" i="6"/>
  <c r="G70" i="5" l="1"/>
  <c r="I69" i="5"/>
  <c r="K69" i="5"/>
  <c r="H70" i="5"/>
  <c r="J69" i="5"/>
  <c r="J68" i="6"/>
  <c r="H69" i="6"/>
  <c r="I68" i="6"/>
  <c r="K68" i="6"/>
  <c r="G69" i="6"/>
  <c r="I70" i="5" l="1"/>
  <c r="K70" i="5"/>
  <c r="G71" i="5"/>
  <c r="H71" i="5"/>
  <c r="J70" i="5"/>
  <c r="J69" i="6"/>
  <c r="H70" i="6"/>
  <c r="I69" i="6"/>
  <c r="K69" i="6"/>
  <c r="G70" i="6"/>
  <c r="I71" i="5" l="1"/>
  <c r="K71" i="5"/>
  <c r="G72" i="5"/>
  <c r="J71" i="5"/>
  <c r="H72" i="5"/>
  <c r="J70" i="6"/>
  <c r="H71" i="6"/>
  <c r="I70" i="6"/>
  <c r="K70" i="6"/>
  <c r="G71" i="6"/>
  <c r="K72" i="5" l="1"/>
  <c r="I72" i="5"/>
  <c r="G73" i="5"/>
  <c r="J72" i="5"/>
  <c r="H73" i="5"/>
  <c r="J71" i="6"/>
  <c r="H72" i="6"/>
  <c r="I71" i="6"/>
  <c r="K71" i="6"/>
  <c r="G72" i="6"/>
  <c r="I73" i="5" l="1"/>
  <c r="K73" i="5"/>
  <c r="G74" i="5"/>
  <c r="J73" i="5"/>
  <c r="H74" i="5"/>
  <c r="J72" i="6"/>
  <c r="H73" i="6"/>
  <c r="I72" i="6"/>
  <c r="K72" i="6"/>
  <c r="G73" i="6"/>
  <c r="I74" i="5" l="1"/>
  <c r="K74" i="5"/>
  <c r="G75" i="5"/>
  <c r="J74" i="5"/>
  <c r="H75" i="5"/>
  <c r="J73" i="6"/>
  <c r="H74" i="6"/>
  <c r="I73" i="6"/>
  <c r="K73" i="6"/>
  <c r="G74" i="6"/>
  <c r="I75" i="5" l="1"/>
  <c r="K75" i="5"/>
  <c r="G76" i="5"/>
  <c r="J75" i="5"/>
  <c r="H76" i="5"/>
  <c r="J74" i="6"/>
  <c r="H75" i="6"/>
  <c r="I74" i="6"/>
  <c r="K74" i="6"/>
  <c r="G75" i="6"/>
  <c r="I76" i="5" l="1"/>
  <c r="K76" i="5"/>
  <c r="G77" i="5"/>
  <c r="J76" i="5"/>
  <c r="H77" i="5"/>
  <c r="J75" i="6"/>
  <c r="H76" i="6"/>
  <c r="I75" i="6"/>
  <c r="K75" i="6"/>
  <c r="G76" i="6"/>
  <c r="I77" i="5" l="1"/>
  <c r="K77" i="5"/>
  <c r="G78" i="5"/>
  <c r="J77" i="5"/>
  <c r="H78" i="5"/>
  <c r="J76" i="6"/>
  <c r="H77" i="6"/>
  <c r="J77" i="6" s="1"/>
  <c r="I76" i="6"/>
  <c r="K76" i="6"/>
  <c r="G77" i="6"/>
  <c r="N72" i="6"/>
  <c r="I78" i="5" l="1"/>
  <c r="K78" i="5"/>
  <c r="G79" i="5"/>
  <c r="J78" i="5"/>
  <c r="H79" i="5"/>
  <c r="N75" i="6"/>
  <c r="N76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6" i="6"/>
  <c r="N47" i="6"/>
  <c r="N45" i="6"/>
  <c r="N44" i="6"/>
  <c r="N42" i="6"/>
  <c r="N43" i="6"/>
  <c r="N40" i="6"/>
  <c r="N41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6" i="6"/>
  <c r="E3" i="6" s="1"/>
  <c r="N17" i="6"/>
  <c r="N77" i="6"/>
  <c r="I77" i="6"/>
  <c r="K77" i="6"/>
  <c r="N74" i="6"/>
  <c r="N73" i="6"/>
  <c r="E2" i="6"/>
  <c r="I79" i="5" l="1"/>
  <c r="K79" i="5"/>
  <c r="G80" i="5"/>
  <c r="J79" i="5"/>
  <c r="H80" i="5"/>
  <c r="G3" i="6"/>
  <c r="E3" i="2"/>
  <c r="M72" i="6"/>
  <c r="M70" i="6"/>
  <c r="M71" i="6"/>
  <c r="O71" i="6" s="1"/>
  <c r="P71" i="6" s="1"/>
  <c r="R71" i="6" s="1"/>
  <c r="M69" i="6"/>
  <c r="O69" i="6" s="1"/>
  <c r="P69" i="6" s="1"/>
  <c r="R69" i="6" s="1"/>
  <c r="M68" i="6"/>
  <c r="M67" i="6"/>
  <c r="M66" i="6"/>
  <c r="M65" i="6"/>
  <c r="M64" i="6"/>
  <c r="O64" i="6" s="1"/>
  <c r="P64" i="6" s="1"/>
  <c r="R64" i="6" s="1"/>
  <c r="M63" i="6"/>
  <c r="O63" i="6" s="1"/>
  <c r="P63" i="6" s="1"/>
  <c r="R63" i="6" s="1"/>
  <c r="M62" i="6"/>
  <c r="O62" i="6" s="1"/>
  <c r="P62" i="6" s="1"/>
  <c r="R62" i="6" s="1"/>
  <c r="M61" i="6"/>
  <c r="M60" i="6"/>
  <c r="O60" i="6" s="1"/>
  <c r="P60" i="6" s="1"/>
  <c r="R60" i="6" s="1"/>
  <c r="M58" i="6"/>
  <c r="O58" i="6" s="1"/>
  <c r="P58" i="6" s="1"/>
  <c r="R58" i="6" s="1"/>
  <c r="M59" i="6"/>
  <c r="O59" i="6" s="1"/>
  <c r="P59" i="6" s="1"/>
  <c r="R59" i="6" s="1"/>
  <c r="M57" i="6"/>
  <c r="O57" i="6" s="1"/>
  <c r="P57" i="6" s="1"/>
  <c r="R57" i="6" s="1"/>
  <c r="M56" i="6"/>
  <c r="O56" i="6" s="1"/>
  <c r="P56" i="6" s="1"/>
  <c r="R56" i="6" s="1"/>
  <c r="M54" i="6"/>
  <c r="O54" i="6" s="1"/>
  <c r="P54" i="6" s="1"/>
  <c r="R54" i="6" s="1"/>
  <c r="M55" i="6"/>
  <c r="M53" i="6"/>
  <c r="M52" i="6"/>
  <c r="M51" i="6"/>
  <c r="M49" i="6"/>
  <c r="M50" i="6"/>
  <c r="M48" i="6"/>
  <c r="M46" i="6"/>
  <c r="M47" i="6"/>
  <c r="M45" i="6"/>
  <c r="O45" i="6" s="1"/>
  <c r="P45" i="6" s="1"/>
  <c r="R45" i="6" s="1"/>
  <c r="M44" i="6"/>
  <c r="O44" i="6" s="1"/>
  <c r="P44" i="6" s="1"/>
  <c r="R44" i="6" s="1"/>
  <c r="M43" i="6"/>
  <c r="O43" i="6" s="1"/>
  <c r="P43" i="6" s="1"/>
  <c r="R43" i="6" s="1"/>
  <c r="M42" i="6"/>
  <c r="M41" i="6"/>
  <c r="M40" i="6"/>
  <c r="M39" i="6"/>
  <c r="M37" i="6"/>
  <c r="M38" i="6"/>
  <c r="M36" i="6"/>
  <c r="M35" i="6"/>
  <c r="M34" i="6"/>
  <c r="M33" i="6"/>
  <c r="M32" i="6"/>
  <c r="M30" i="6"/>
  <c r="M31" i="6"/>
  <c r="M29" i="6"/>
  <c r="M28" i="6"/>
  <c r="M27" i="6"/>
  <c r="M26" i="6"/>
  <c r="M25" i="6"/>
  <c r="M24" i="6"/>
  <c r="M22" i="6"/>
  <c r="M23" i="6"/>
  <c r="M21" i="6"/>
  <c r="M19" i="6"/>
  <c r="M20" i="6"/>
  <c r="M17" i="6"/>
  <c r="M18" i="6"/>
  <c r="M16" i="6"/>
  <c r="M77" i="6"/>
  <c r="O77" i="6"/>
  <c r="P77" i="6" s="1"/>
  <c r="R77" i="6" s="1"/>
  <c r="E13" i="6"/>
  <c r="G13" i="6" s="1"/>
  <c r="E4" i="6"/>
  <c r="D3" i="2"/>
  <c r="E5" i="6"/>
  <c r="G2" i="6"/>
  <c r="M75" i="6"/>
  <c r="O75" i="6" s="1"/>
  <c r="P75" i="6" s="1"/>
  <c r="R75" i="6" s="1"/>
  <c r="M73" i="6"/>
  <c r="M74" i="6"/>
  <c r="O74" i="6" s="1"/>
  <c r="P74" i="6" s="1"/>
  <c r="R74" i="6" s="1"/>
  <c r="M76" i="6"/>
  <c r="O76" i="6" s="1"/>
  <c r="P76" i="6" s="1"/>
  <c r="R76" i="6" s="1"/>
  <c r="O67" i="6" l="1"/>
  <c r="P67" i="6" s="1"/>
  <c r="R67" i="6" s="1"/>
  <c r="O66" i="6"/>
  <c r="P66" i="6" s="1"/>
  <c r="R66" i="6" s="1"/>
  <c r="O65" i="6"/>
  <c r="P65" i="6" s="1"/>
  <c r="R65" i="6" s="1"/>
  <c r="O42" i="6"/>
  <c r="P42" i="6" s="1"/>
  <c r="R42" i="6" s="1"/>
  <c r="I80" i="5"/>
  <c r="K80" i="5"/>
  <c r="G81" i="5"/>
  <c r="J80" i="5"/>
  <c r="H81" i="5"/>
  <c r="O31" i="6"/>
  <c r="P31" i="6" s="1"/>
  <c r="R31" i="6" s="1"/>
  <c r="O26" i="6"/>
  <c r="P26" i="6" s="1"/>
  <c r="R26" i="6" s="1"/>
  <c r="O17" i="6"/>
  <c r="P17" i="6" s="1"/>
  <c r="R17" i="6" s="1"/>
  <c r="O34" i="6"/>
  <c r="P34" i="6" s="1"/>
  <c r="R34" i="6" s="1"/>
  <c r="O21" i="6"/>
  <c r="P21" i="6" s="1"/>
  <c r="R21" i="6" s="1"/>
  <c r="O35" i="6"/>
  <c r="P35" i="6" s="1"/>
  <c r="R35" i="6" s="1"/>
  <c r="O16" i="6"/>
  <c r="P16" i="6" s="1"/>
  <c r="R16" i="6" s="1"/>
  <c r="O28" i="6"/>
  <c r="P28" i="6" s="1"/>
  <c r="R28" i="6" s="1"/>
  <c r="O24" i="6"/>
  <c r="P24" i="6" s="1"/>
  <c r="R24" i="6" s="1"/>
  <c r="O32" i="6"/>
  <c r="P32" i="6" s="1"/>
  <c r="R32" i="6" s="1"/>
  <c r="O19" i="6"/>
  <c r="P19" i="6" s="1"/>
  <c r="R19" i="6" s="1"/>
  <c r="O22" i="6"/>
  <c r="P22" i="6" s="1"/>
  <c r="R22" i="6" s="1"/>
  <c r="O23" i="6"/>
  <c r="P23" i="6" s="1"/>
  <c r="R23" i="6" s="1"/>
  <c r="E9" i="6"/>
  <c r="O20" i="6"/>
  <c r="P20" i="6" s="1"/>
  <c r="R20" i="6" s="1"/>
  <c r="O25" i="6"/>
  <c r="P25" i="6" s="1"/>
  <c r="R25" i="6" s="1"/>
  <c r="O46" i="6"/>
  <c r="P46" i="6" s="1"/>
  <c r="R46" i="6" s="1"/>
  <c r="O61" i="6"/>
  <c r="P61" i="6" s="1"/>
  <c r="R61" i="6" s="1"/>
  <c r="O55" i="6"/>
  <c r="P55" i="6" s="1"/>
  <c r="R55" i="6" s="1"/>
  <c r="O30" i="6"/>
  <c r="P30" i="6" s="1"/>
  <c r="R30" i="6" s="1"/>
  <c r="O73" i="6"/>
  <c r="P73" i="6" s="1"/>
  <c r="R73" i="6" s="1"/>
  <c r="O68" i="6"/>
  <c r="P68" i="6" s="1"/>
  <c r="R68" i="6" s="1"/>
  <c r="O33" i="6"/>
  <c r="P33" i="6" s="1"/>
  <c r="R33" i="6" s="1"/>
  <c r="O41" i="6"/>
  <c r="P41" i="6" s="1"/>
  <c r="R41" i="6" s="1"/>
  <c r="O27" i="6"/>
  <c r="P27" i="6" s="1"/>
  <c r="R27" i="6" s="1"/>
  <c r="O18" i="6"/>
  <c r="P18" i="6" s="1"/>
  <c r="R18" i="6" s="1"/>
  <c r="O36" i="6"/>
  <c r="P36" i="6" s="1"/>
  <c r="R36" i="6" s="1"/>
  <c r="O29" i="6"/>
  <c r="P29" i="6" s="1"/>
  <c r="R29" i="6" s="1"/>
  <c r="O40" i="6"/>
  <c r="P40" i="6" s="1"/>
  <c r="R40" i="6" s="1"/>
  <c r="G4" i="6"/>
  <c r="F3" i="2"/>
  <c r="E7" i="6"/>
  <c r="E10" i="6" s="1"/>
  <c r="G5" i="6"/>
  <c r="G3" i="2"/>
  <c r="O72" i="6"/>
  <c r="P72" i="6" s="1"/>
  <c r="R72" i="6" s="1"/>
  <c r="O70" i="6"/>
  <c r="P70" i="6" s="1"/>
  <c r="R70" i="6" s="1"/>
  <c r="O53" i="6"/>
  <c r="P53" i="6" s="1"/>
  <c r="R53" i="6" s="1"/>
  <c r="O52" i="6"/>
  <c r="P52" i="6" s="1"/>
  <c r="R52" i="6" s="1"/>
  <c r="O51" i="6"/>
  <c r="P51" i="6" s="1"/>
  <c r="R51" i="6" s="1"/>
  <c r="O49" i="6"/>
  <c r="P49" i="6" s="1"/>
  <c r="R49" i="6" s="1"/>
  <c r="O50" i="6"/>
  <c r="P50" i="6" s="1"/>
  <c r="R50" i="6" s="1"/>
  <c r="O48" i="6"/>
  <c r="P48" i="6" s="1"/>
  <c r="R48" i="6" s="1"/>
  <c r="O47" i="6"/>
  <c r="P47" i="6" s="1"/>
  <c r="R47" i="6" s="1"/>
  <c r="O39" i="6"/>
  <c r="P39" i="6" s="1"/>
  <c r="R39" i="6" s="1"/>
  <c r="O37" i="6"/>
  <c r="P37" i="6" s="1"/>
  <c r="R37" i="6" s="1"/>
  <c r="O38" i="6"/>
  <c r="P38" i="6" s="1"/>
  <c r="R38" i="6" s="1"/>
  <c r="I81" i="5" l="1"/>
  <c r="K81" i="5"/>
  <c r="G82" i="5"/>
  <c r="J81" i="5"/>
  <c r="H82" i="5"/>
  <c r="G10" i="6"/>
  <c r="E11" i="6"/>
  <c r="H3" i="2"/>
  <c r="O3" i="2"/>
  <c r="I82" i="5" l="1"/>
  <c r="K82" i="5"/>
  <c r="G83" i="5"/>
  <c r="J82" i="5"/>
  <c r="H83" i="5"/>
  <c r="G11" i="6"/>
  <c r="E12" i="6"/>
  <c r="I3" i="2"/>
  <c r="K3" i="2" s="1"/>
  <c r="I83" i="5" l="1"/>
  <c r="K83" i="5"/>
  <c r="G84" i="5"/>
  <c r="J83" i="5"/>
  <c r="H84" i="5"/>
  <c r="G12" i="6"/>
  <c r="L3" i="2"/>
  <c r="N3" i="2" s="1"/>
  <c r="I84" i="5" l="1"/>
  <c r="K84" i="5"/>
  <c r="G85" i="5"/>
  <c r="J84" i="5"/>
  <c r="H85" i="5"/>
  <c r="I85" i="5" l="1"/>
  <c r="K85" i="5"/>
  <c r="G86" i="5"/>
  <c r="J85" i="5"/>
  <c r="H86" i="5"/>
  <c r="I86" i="5" l="1"/>
  <c r="K86" i="5"/>
  <c r="G87" i="5"/>
  <c r="J86" i="5"/>
  <c r="H87" i="5"/>
  <c r="J87" i="5" s="1"/>
  <c r="N83" i="5" l="1"/>
  <c r="I87" i="5"/>
  <c r="K87" i="5"/>
  <c r="N85" i="5"/>
  <c r="N84" i="5"/>
  <c r="N86" i="5"/>
  <c r="N80" i="5"/>
  <c r="N79" i="5"/>
  <c r="N77" i="5"/>
  <c r="N78" i="5"/>
  <c r="N76" i="5"/>
  <c r="N75" i="5"/>
  <c r="N74" i="5"/>
  <c r="N73" i="5"/>
  <c r="N70" i="5"/>
  <c r="N72" i="5"/>
  <c r="N71" i="5"/>
  <c r="N69" i="5"/>
  <c r="N68" i="5"/>
  <c r="N67" i="5"/>
  <c r="N66" i="5"/>
  <c r="N65" i="5"/>
  <c r="N63" i="5"/>
  <c r="N64" i="5"/>
  <c r="N62" i="5"/>
  <c r="N61" i="5"/>
  <c r="N59" i="5"/>
  <c r="N60" i="5"/>
  <c r="N58" i="5"/>
  <c r="N57" i="5"/>
  <c r="N56" i="5"/>
  <c r="N55" i="5"/>
  <c r="N54" i="5"/>
  <c r="N53" i="5"/>
  <c r="N52" i="5"/>
  <c r="N51" i="5"/>
  <c r="N49" i="5"/>
  <c r="N50" i="5"/>
  <c r="N48" i="5"/>
  <c r="N47" i="5"/>
  <c r="N46" i="5"/>
  <c r="N45" i="5"/>
  <c r="N44" i="5"/>
  <c r="N43" i="5"/>
  <c r="N42" i="5"/>
  <c r="N41" i="5"/>
  <c r="N39" i="5"/>
  <c r="N40" i="5"/>
  <c r="N38" i="5"/>
  <c r="N37" i="5"/>
  <c r="N36" i="5"/>
  <c r="N35" i="5"/>
  <c r="N34" i="5"/>
  <c r="N32" i="5"/>
  <c r="N33" i="5"/>
  <c r="N31" i="5"/>
  <c r="N30" i="5"/>
  <c r="N28" i="5"/>
  <c r="N29" i="5"/>
  <c r="N27" i="5"/>
  <c r="N26" i="5"/>
  <c r="N25" i="5"/>
  <c r="N24" i="5"/>
  <c r="N23" i="5"/>
  <c r="N22" i="5"/>
  <c r="N21" i="5"/>
  <c r="N20" i="5"/>
  <c r="N19" i="5"/>
  <c r="N18" i="5"/>
  <c r="N17" i="5"/>
  <c r="N16" i="5"/>
  <c r="N87" i="5"/>
  <c r="E2" i="5"/>
  <c r="N82" i="5"/>
  <c r="N81" i="5"/>
  <c r="E3" i="5" l="1"/>
  <c r="M85" i="5"/>
  <c r="M84" i="5"/>
  <c r="M81" i="5"/>
  <c r="M82" i="5"/>
  <c r="M80" i="5"/>
  <c r="M78" i="5"/>
  <c r="M79" i="5"/>
  <c r="M76" i="5"/>
  <c r="M74" i="5"/>
  <c r="M77" i="5"/>
  <c r="M75" i="5"/>
  <c r="M73" i="5"/>
  <c r="M72" i="5"/>
  <c r="M71" i="5"/>
  <c r="M69" i="5"/>
  <c r="O69" i="5" s="1"/>
  <c r="P69" i="5" s="1"/>
  <c r="R69" i="5" s="1"/>
  <c r="M70" i="5"/>
  <c r="M68" i="5"/>
  <c r="M67" i="5"/>
  <c r="M66" i="5"/>
  <c r="M65" i="5"/>
  <c r="M64" i="5"/>
  <c r="M62" i="5"/>
  <c r="M63" i="5"/>
  <c r="M61" i="5"/>
  <c r="M59" i="5"/>
  <c r="M60" i="5"/>
  <c r="M57" i="5"/>
  <c r="M58" i="5"/>
  <c r="M56" i="5"/>
  <c r="M55" i="5"/>
  <c r="M54" i="5"/>
  <c r="M52" i="5"/>
  <c r="M53" i="5"/>
  <c r="M50" i="5"/>
  <c r="M51" i="5"/>
  <c r="M49" i="5"/>
  <c r="M48" i="5"/>
  <c r="M47" i="5"/>
  <c r="M45" i="5"/>
  <c r="M46" i="5"/>
  <c r="M43" i="5"/>
  <c r="M44" i="5"/>
  <c r="M42" i="5"/>
  <c r="M41" i="5"/>
  <c r="M40" i="5"/>
  <c r="M39" i="5"/>
  <c r="M38" i="5"/>
  <c r="M37" i="5"/>
  <c r="M36" i="5"/>
  <c r="M34" i="5"/>
  <c r="M35" i="5"/>
  <c r="M33" i="5"/>
  <c r="M32" i="5"/>
  <c r="M31" i="5"/>
  <c r="M30" i="5"/>
  <c r="M29" i="5"/>
  <c r="M28" i="5"/>
  <c r="M27" i="5"/>
  <c r="M26" i="5"/>
  <c r="M24" i="5"/>
  <c r="M25" i="5"/>
  <c r="M23" i="5"/>
  <c r="M22" i="5"/>
  <c r="M21" i="5"/>
  <c r="M20" i="5"/>
  <c r="M19" i="5"/>
  <c r="M17" i="5"/>
  <c r="M18" i="5"/>
  <c r="M16" i="5"/>
  <c r="M87" i="5"/>
  <c r="O87" i="5"/>
  <c r="P87" i="5" s="1"/>
  <c r="R87" i="5" s="1"/>
  <c r="G3" i="5"/>
  <c r="E2" i="2"/>
  <c r="G2" i="5"/>
  <c r="E4" i="5"/>
  <c r="E5" i="5"/>
  <c r="D2" i="2"/>
  <c r="M83" i="5"/>
  <c r="O83" i="5" s="1"/>
  <c r="P83" i="5" s="1"/>
  <c r="R83" i="5" s="1"/>
  <c r="M86" i="5"/>
  <c r="O86" i="5" s="1"/>
  <c r="P86" i="5" s="1"/>
  <c r="R86" i="5" s="1"/>
  <c r="O85" i="5" l="1"/>
  <c r="P85" i="5" s="1"/>
  <c r="R85" i="5" s="1"/>
  <c r="O84" i="5"/>
  <c r="P84" i="5" s="1"/>
  <c r="R84" i="5" s="1"/>
  <c r="O81" i="5"/>
  <c r="P81" i="5" s="1"/>
  <c r="R81" i="5" s="1"/>
  <c r="O80" i="5"/>
  <c r="P80" i="5" s="1"/>
  <c r="R80" i="5" s="1"/>
  <c r="O78" i="5"/>
  <c r="P78" i="5" s="1"/>
  <c r="R78" i="5" s="1"/>
  <c r="O79" i="5"/>
  <c r="P79" i="5" s="1"/>
  <c r="R79" i="5" s="1"/>
  <c r="O71" i="5"/>
  <c r="P71" i="5" s="1"/>
  <c r="R71" i="5" s="1"/>
  <c r="O68" i="5"/>
  <c r="P68" i="5" s="1"/>
  <c r="R68" i="5" s="1"/>
  <c r="O42" i="5"/>
  <c r="P42" i="5" s="1"/>
  <c r="R42" i="5" s="1"/>
  <c r="E13" i="5"/>
  <c r="G13" i="5" s="1"/>
  <c r="O66" i="5"/>
  <c r="P66" i="5" s="1"/>
  <c r="R66" i="5" s="1"/>
  <c r="O65" i="5"/>
  <c r="P65" i="5" s="1"/>
  <c r="R65" i="5" s="1"/>
  <c r="O64" i="5"/>
  <c r="P64" i="5" s="1"/>
  <c r="R64" i="5" s="1"/>
  <c r="O62" i="5"/>
  <c r="P62" i="5" s="1"/>
  <c r="R62" i="5" s="1"/>
  <c r="O63" i="5"/>
  <c r="P63" i="5" s="1"/>
  <c r="R63" i="5" s="1"/>
  <c r="O60" i="5"/>
  <c r="P60" i="5" s="1"/>
  <c r="R60" i="5" s="1"/>
  <c r="O57" i="5"/>
  <c r="P57" i="5" s="1"/>
  <c r="R57" i="5" s="1"/>
  <c r="O58" i="5"/>
  <c r="P58" i="5" s="1"/>
  <c r="R58" i="5" s="1"/>
  <c r="O56" i="5"/>
  <c r="P56" i="5" s="1"/>
  <c r="R56" i="5" s="1"/>
  <c r="O55" i="5"/>
  <c r="P55" i="5" s="1"/>
  <c r="R55" i="5" s="1"/>
  <c r="O39" i="5"/>
  <c r="P39" i="5" s="1"/>
  <c r="R39" i="5" s="1"/>
  <c r="O50" i="5"/>
  <c r="P50" i="5" s="1"/>
  <c r="R50" i="5" s="1"/>
  <c r="O51" i="5"/>
  <c r="P51" i="5" s="1"/>
  <c r="R51" i="5" s="1"/>
  <c r="O49" i="5"/>
  <c r="P49" i="5" s="1"/>
  <c r="R49" i="5" s="1"/>
  <c r="O46" i="5"/>
  <c r="P46" i="5" s="1"/>
  <c r="R46" i="5" s="1"/>
  <c r="O44" i="5"/>
  <c r="P44" i="5" s="1"/>
  <c r="R44" i="5" s="1"/>
  <c r="O41" i="5"/>
  <c r="P41" i="5" s="1"/>
  <c r="R41" i="5" s="1"/>
  <c r="O33" i="5"/>
  <c r="P33" i="5" s="1"/>
  <c r="R33" i="5" s="1"/>
  <c r="O32" i="5"/>
  <c r="P32" i="5" s="1"/>
  <c r="R32" i="5" s="1"/>
  <c r="O30" i="5"/>
  <c r="P30" i="5" s="1"/>
  <c r="R30" i="5" s="1"/>
  <c r="O35" i="5"/>
  <c r="P35" i="5" s="1"/>
  <c r="R35" i="5" s="1"/>
  <c r="O26" i="5"/>
  <c r="P26" i="5" s="1"/>
  <c r="R26" i="5" s="1"/>
  <c r="O23" i="5"/>
  <c r="P23" i="5" s="1"/>
  <c r="R23" i="5" s="1"/>
  <c r="O18" i="5"/>
  <c r="P18" i="5" s="1"/>
  <c r="R18" i="5" s="1"/>
  <c r="O34" i="5"/>
  <c r="P34" i="5" s="1"/>
  <c r="R34" i="5" s="1"/>
  <c r="O22" i="5"/>
  <c r="P22" i="5" s="1"/>
  <c r="R22" i="5" s="1"/>
  <c r="O21" i="5"/>
  <c r="P21" i="5" s="1"/>
  <c r="R21" i="5" s="1"/>
  <c r="O36" i="5"/>
  <c r="P36" i="5" s="1"/>
  <c r="R36" i="5" s="1"/>
  <c r="O17" i="5"/>
  <c r="P17" i="5" s="1"/>
  <c r="R17" i="5" s="1"/>
  <c r="O24" i="5"/>
  <c r="P24" i="5" s="1"/>
  <c r="R24" i="5" s="1"/>
  <c r="O19" i="5"/>
  <c r="P19" i="5" s="1"/>
  <c r="R19" i="5" s="1"/>
  <c r="O25" i="5"/>
  <c r="P25" i="5" s="1"/>
  <c r="R25" i="5" s="1"/>
  <c r="O20" i="5"/>
  <c r="P20" i="5" s="1"/>
  <c r="R20" i="5" s="1"/>
  <c r="O16" i="5"/>
  <c r="P16" i="5" s="1"/>
  <c r="R16" i="5" s="1"/>
  <c r="O28" i="5"/>
  <c r="P28" i="5" s="1"/>
  <c r="R28" i="5" s="1"/>
  <c r="O27" i="5"/>
  <c r="P27" i="5" s="1"/>
  <c r="R27" i="5" s="1"/>
  <c r="E9" i="5"/>
  <c r="O31" i="5"/>
  <c r="P31" i="5" s="1"/>
  <c r="R31" i="5" s="1"/>
  <c r="O40" i="5"/>
  <c r="P40" i="5" s="1"/>
  <c r="R40" i="5" s="1"/>
  <c r="O59" i="5"/>
  <c r="P59" i="5" s="1"/>
  <c r="R59" i="5" s="1"/>
  <c r="O82" i="5"/>
  <c r="P82" i="5" s="1"/>
  <c r="R82" i="5" s="1"/>
  <c r="O67" i="5"/>
  <c r="P67" i="5" s="1"/>
  <c r="R67" i="5" s="1"/>
  <c r="O43" i="5"/>
  <c r="P43" i="5" s="1"/>
  <c r="R43" i="5" s="1"/>
  <c r="O38" i="5"/>
  <c r="P38" i="5" s="1"/>
  <c r="R38" i="5" s="1"/>
  <c r="O70" i="5"/>
  <c r="P70" i="5" s="1"/>
  <c r="R70" i="5" s="1"/>
  <c r="O72" i="5"/>
  <c r="P72" i="5" s="1"/>
  <c r="R72" i="5" s="1"/>
  <c r="O37" i="5"/>
  <c r="P37" i="5" s="1"/>
  <c r="R37" i="5" s="1"/>
  <c r="O73" i="5"/>
  <c r="P73" i="5" s="1"/>
  <c r="R73" i="5" s="1"/>
  <c r="O76" i="5"/>
  <c r="P76" i="5" s="1"/>
  <c r="R76" i="5" s="1"/>
  <c r="O29" i="5"/>
  <c r="P29" i="5" s="1"/>
  <c r="R29" i="5" s="1"/>
  <c r="O52" i="5"/>
  <c r="P52" i="5" s="1"/>
  <c r="R52" i="5" s="1"/>
  <c r="O48" i="5"/>
  <c r="P48" i="5" s="1"/>
  <c r="R48" i="5" s="1"/>
  <c r="G4" i="5"/>
  <c r="F2" i="2"/>
  <c r="E7" i="5"/>
  <c r="E10" i="5" s="1"/>
  <c r="G5" i="5"/>
  <c r="G2" i="2"/>
  <c r="O74" i="5"/>
  <c r="P74" i="5" s="1"/>
  <c r="R74" i="5" s="1"/>
  <c r="O77" i="5"/>
  <c r="P77" i="5" s="1"/>
  <c r="R77" i="5" s="1"/>
  <c r="O75" i="5"/>
  <c r="P75" i="5" s="1"/>
  <c r="R75" i="5" s="1"/>
  <c r="O61" i="5"/>
  <c r="P61" i="5" s="1"/>
  <c r="R61" i="5" s="1"/>
  <c r="O54" i="5"/>
  <c r="P54" i="5" s="1"/>
  <c r="R54" i="5" s="1"/>
  <c r="O53" i="5"/>
  <c r="P53" i="5" s="1"/>
  <c r="R53" i="5" s="1"/>
  <c r="O47" i="5"/>
  <c r="P47" i="5" s="1"/>
  <c r="R47" i="5" s="1"/>
  <c r="O45" i="5"/>
  <c r="P45" i="5" s="1"/>
  <c r="R45" i="5" s="1"/>
  <c r="O2" i="2" l="1"/>
  <c r="O4" i="2" s="1"/>
  <c r="G10" i="5"/>
  <c r="E11" i="5"/>
  <c r="H2" i="2"/>
  <c r="G11" i="5" l="1"/>
  <c r="E12" i="5"/>
  <c r="I2" i="2"/>
  <c r="G12" i="5" l="1"/>
  <c r="L2" i="2"/>
  <c r="K2" i="2"/>
  <c r="I4" i="2"/>
  <c r="K4" i="2" s="1"/>
  <c r="N2" i="2" l="1"/>
  <c r="L4" i="2"/>
  <c r="N4" i="2" s="1"/>
</calcChain>
</file>

<file path=xl/sharedStrings.xml><?xml version="1.0" encoding="utf-8"?>
<sst xmlns="http://schemas.openxmlformats.org/spreadsheetml/2006/main" count="172" uniqueCount="125">
  <si>
    <t>종신보험(암진단 포함) — 산출방법서 식 엑셀 검산</t>
  </si>
  <si>
    <t>계약 한 점: 남 40세 · 보험료 납입기간 20년 · 월납(k=12) · 보험기간은 담보 만기(종신 110세)</t>
  </si>
  <si>
    <t>담보: 사망·80% 이상 장해(사망형, 1억원, 110세) · 암 진단(진단형, 사망보험금의 50% = 5천만원, 100세, 90일 면책 → 첫해 급부 × (1 − 3/12))</t>
  </si>
  <si>
    <t>납입면제: 80% 이상 장해 · 암 진단 시 이후 보험료 면제. 사망은 계약 소멸(탈퇴). 납입면제 사유가 그 담보의 탈퇴 사유이기도 하면 다시 빼지 않는다</t>
  </si>
  <si>
    <t xml:space="preserve">   사망·80% 이상 장해: 탈퇴 = 사망 + 장해, 납입면제 f = 암 발생   /   암 진단: 탈퇴 = 사망 + 암 발생, 납입면제 f = 80% 이상 장해</t>
  </si>
  <si>
    <t>시트</t>
  </si>
  <si>
    <t xml:space="preserve">  입력      기초율·사업비·계약 (노란 칸을 바꾸면 모든 시트가 다시 계산된다)</t>
  </si>
  <si>
    <t xml:space="preserve">  위험률    연령 × 위험률 (계약 성별 — 공개 기본 위험률: 사망률 · 80% 이상 장해율 · 암발생률)</t>
  </si>
  <si>
    <t xml:space="preserve">  기수_*    담보마다 계산기수와 연말 책임준비금 V — 모두 수식. 초록 열 = 앱(자유설계보험) 값, 그 옆 = 차이</t>
  </si>
  <si>
    <t xml:space="preserve">  보험료    담보별 보험료와 앱 값의 차이 — 차이가 0 이면 산출방법서 식 = 앱 계산</t>
  </si>
  <si>
    <t>식 (산출방법서 3~5절과 같다)</t>
  </si>
  <si>
    <t xml:space="preserve">  탈퇴율 Q = q + r − q·r/2 ,  l_{t+1} = l_t·(1 − Q) ,  l′_{t+1} = l′_t·(1 − Q − f + Q·f/2)</t>
  </si>
  <si>
    <t xml:space="preserve">  D = l·v^t ,  D′ = l′·v^t ,  C = l·g·v^{t+½} (사망형 g = Q, 진단형 g = 그 발생률) ,  N = Σ_{u≥t} D ,  N′ = Σ_{u≥t} D′</t>
  </si>
  <si>
    <t xml:space="preserve">  PVB = Σ S·C ,  N* = k·[(N′_x − N′_{x+m}) − (k−1)/(2k)·(D′_x − D′_{x+m})] ,  P = PVB/N* ,  P_base = PVB/(N′_x − N′_{x+min(n,20)})</t>
  </si>
  <si>
    <t xml:space="preserve">  G = [P + (α_S + α_P·P_base)·D′_x/N* + β_S/k + β′·(N_{x+m} − N_{x+n})/N*] / (1 − β_G − γ) ,  10만원당 G = ROUND(G×100,000, 0)</t>
  </si>
  <si>
    <t xml:space="preserve">  V_t = [Σ_{u≥t} S·C + β′·(N_{x+max(t,m)} − N_{x+n}) − P_β·(N′_{x+t} − N′_{x+m})·[t≤m]] / D_{x+t} ,  P_β = [PVB + β′·(N_{x+m} − N_{x+n})] / (N′_x − N′_{x+m})</t>
  </si>
  <si>
    <t>행 수는 이 계약(40세)에 맞춰져 있다 — 가입나이를 바꾸려면 앱에서 다시 만든다(python scripts/make-verify-xlsx.py).</t>
  </si>
  <si>
    <t>담보</t>
  </si>
  <si>
    <t>n</t>
  </si>
  <si>
    <t>m</t>
  </si>
  <si>
    <t>PVB</t>
  </si>
  <si>
    <t>N*</t>
  </si>
  <si>
    <t>P</t>
  </si>
  <si>
    <t>P_base</t>
  </si>
  <si>
    <t>G (1원당)</t>
  </si>
  <si>
    <t>10만원당 G (엑셀)</t>
  </si>
  <si>
    <t>10만원당 G (앱)</t>
  </si>
  <si>
    <t>차이</t>
  </si>
  <si>
    <t>월보험료 (엑셀)</t>
  </si>
  <si>
    <t>월보험료 (앱)</t>
  </si>
  <si>
    <t>준비금 차이(최대)</t>
  </si>
  <si>
    <t>합계</t>
  </si>
  <si>
    <t>차이 열이 모두 0 이면 산출방법서의 식을 엑셀 수식으로 계산한 보험료·준비금이 자유설계보험의 계산과 같다. (기수_* 시트의 R열 = 연도별 준비금 차이)</t>
  </si>
  <si>
    <t>항목</t>
  </si>
  <si>
    <t>값</t>
  </si>
  <si>
    <t>이름(수식에서)</t>
  </si>
  <si>
    <t>비고</t>
  </si>
  <si>
    <t>적용이율 i</t>
  </si>
  <si>
    <t>이율</t>
  </si>
  <si>
    <t>예정이율</t>
  </si>
  <si>
    <t>현가율 v</t>
  </si>
  <si>
    <t>현가율</t>
  </si>
  <si>
    <t>가입나이 x</t>
  </si>
  <si>
    <t>가입나이</t>
  </si>
  <si>
    <t>남</t>
  </si>
  <si>
    <t>보험료 납입기간 m</t>
  </si>
  <si>
    <t>납입기간</t>
  </si>
  <si>
    <t>년</t>
  </si>
  <si>
    <t>납입주기별 계수 k</t>
  </si>
  <si>
    <t>납입주기</t>
  </si>
  <si>
    <t>월납 12</t>
  </si>
  <si>
    <t>보험기간(계약)</t>
  </si>
  <si>
    <t>보험기간</t>
  </si>
  <si>
    <t>담보 만기 중 가장 늦은 것</t>
  </si>
  <si>
    <t>α_S 신계약비(가입금액)</t>
  </si>
  <si>
    <t>알파S</t>
  </si>
  <si>
    <t>보험가입금액 비례</t>
  </si>
  <si>
    <t>α_P 신계약비(기준연납순보험료 배수)</t>
  </si>
  <si>
    <t>알파P</t>
  </si>
  <si>
    <t>보장기간 20년 미만이면 × n/20</t>
  </si>
  <si>
    <t>β_S 유지비(납입중)</t>
  </si>
  <si>
    <t>베타S</t>
  </si>
  <si>
    <t>매년 보험가입금액 — 1회 납입당 β_S/k</t>
  </si>
  <si>
    <t>β_G 유지비(영업보험료)</t>
  </si>
  <si>
    <t>베타G</t>
  </si>
  <si>
    <t>β′ 납입후 유지비</t>
  </si>
  <si>
    <t>베타후</t>
  </si>
  <si>
    <t>매년 보험가입금액</t>
  </si>
  <si>
    <t>γ 수금비</t>
  </si>
  <si>
    <t>감마</t>
  </si>
  <si>
    <t>영업보험료</t>
  </si>
  <si>
    <t>연령</t>
  </si>
  <si>
    <t>사망률 (남)</t>
  </si>
  <si>
    <t>80% 이상 장해율 (남)</t>
  </si>
  <si>
    <t>암발생률 (남)</t>
  </si>
  <si>
    <t>사망·80% 이상 장해</t>
  </si>
  <si>
    <t>엑셀(수식)</t>
  </si>
  <si>
    <t>앱(자유설계보험)</t>
  </si>
  <si>
    <t>보장금액</t>
  </si>
  <si>
    <t>PVB = Σ S·C</t>
  </si>
  <si>
    <t>보장 종료 나이</t>
  </si>
  <si>
    <t>N* (연납 환산 납입기수)</t>
  </si>
  <si>
    <t>보장기간 n</t>
  </si>
  <si>
    <t>P = PVB/N*</t>
  </si>
  <si>
    <t>납입기간 m</t>
  </si>
  <si>
    <t>P_base (기준연납순보험료)</t>
  </si>
  <si>
    <t>면책(개월)</t>
  </si>
  <si>
    <t>α_P 적용 = α_P·min(n,20)/20</t>
  </si>
  <si>
    <t>첫해 급부 배율</t>
  </si>
  <si>
    <t>신계약비 부가 (α_S+α_P·P_base)·D′x/N*</t>
  </si>
  <si>
    <t>탈퇴 사유</t>
  </si>
  <si>
    <t>사망 + 80% 이상 장해율</t>
  </si>
  <si>
    <t>β_S 부가 = β_S/k</t>
  </si>
  <si>
    <t>납입면제 f</t>
  </si>
  <si>
    <t>암발생률</t>
  </si>
  <si>
    <t>β′ 부가 = β′·(N_m − N_n)/N*</t>
  </si>
  <si>
    <t>급부 g</t>
  </si>
  <si>
    <t>탈퇴 전부 (사망형 — g = Q)</t>
  </si>
  <si>
    <t>G (영업보험료, 1원당)</t>
  </si>
  <si>
    <t>10만원당 G (반올림)</t>
  </si>
  <si>
    <t>월보험료 = 10만원당 G × 보장금액/10만</t>
  </si>
  <si>
    <t>P_β (준비금용 순보험료)</t>
  </si>
  <si>
    <t>t</t>
  </si>
  <si>
    <t>나이</t>
  </si>
  <si>
    <t>q 사망률</t>
  </si>
  <si>
    <t>탈퇴2 80% 이상 장해율</t>
  </si>
  <si>
    <t>f 암발생률</t>
  </si>
  <si>
    <t>Q 탈퇴율</t>
  </si>
  <si>
    <t>l 유지자수</t>
  </si>
  <si>
    <t>l′ 납입자수</t>
  </si>
  <si>
    <t>D</t>
  </si>
  <si>
    <t>D′</t>
  </si>
  <si>
    <t>C</t>
  </si>
  <si>
    <t>S</t>
  </si>
  <si>
    <t>N</t>
  </si>
  <si>
    <t>N′</t>
  </si>
  <si>
    <t>V (1원당)</t>
  </si>
  <si>
    <t>V 10만원당</t>
  </si>
  <si>
    <t>앱 V 10만원당</t>
  </si>
  <si>
    <t>암 진단</t>
  </si>
  <si>
    <t>사망 + 암발생률</t>
  </si>
  <si>
    <t>80% 이상 장해율</t>
  </si>
  <si>
    <t>암발생률 (진단형)</t>
  </si>
  <si>
    <t>탈퇴2 암발생률</t>
  </si>
  <si>
    <t>f 80% 이상 장해율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</si>
</sst>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00"/>
    <numFmt numFmtId="177" formatCode="0.000000000"/>
    <numFmt numFmtId="178" formatCode="0.0E+00"/>
    <numFmt numFmtId="179" formatCode="#,##0.000"/>
    <numFmt numFmtId="180" formatCode="0.0000000"/>
    <numFmt numFmtId="181" formatCode="#,##0.0000"/>
    <numFmt numFmtId="182" formatCode="0.0000000000"/>
  </numFmts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4D6"/>
      </patternFill>
    </fill>
    <fill>
      <patternFill patternType="solid">
        <fgColor rgb="FFDCE6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wrapText="1"/>
    </xf>
    <xf numFmtId="181" fontId="0" fillId="0" borderId="0" xfId="0" applyNumberFormat="1"/>
    <xf numFmtId="4" fontId="0" fillId="0" borderId="0" xfId="0" applyNumberFormat="1"/>
    <xf numFmtId="182" fontId="0" fillId="0" borderId="0" xfId="0" applyNumberFormat="1"/>
    <xf numFmtId="3" fontId="0" fillId="0" borderId="0" xfId="0" applyNumberFormat="1"/>
    <xf numFmtId="3" fontId="0" fillId="4" borderId="0" xfId="0" applyNumberFormat="1" applyFill="1"/>
    <xf numFmtId="0" fontId="2" fillId="0" borderId="1" xfId="0" applyFont="1" applyBorder="1"/>
    <xf numFmtId="3" fontId="2" fillId="0" borderId="1" xfId="0" applyNumberFormat="1" applyFont="1" applyBorder="1"/>
    <xf numFmtId="3" fontId="2" fillId="4" borderId="1" xfId="0" applyNumberFormat="1" applyFont="1" applyFill="1" applyBorder="1"/>
    <xf numFmtId="0" fontId="2" fillId="3" borderId="0" xfId="0" applyFont="1" applyFill="1"/>
    <xf numFmtId="0" fontId="0" fillId="2" borderId="0" xfId="0" applyFill="1"/>
    <xf numFmtId="176" fontId="0" fillId="2" borderId="0" xfId="0" applyNumberFormat="1" applyFill="1"/>
    <xf numFmtId="0" fontId="2" fillId="0" borderId="0" xfId="0" applyFont="1"/>
    <xf numFmtId="177" fontId="0" fillId="0" borderId="0" xfId="0" applyNumberFormat="1"/>
    <xf numFmtId="177" fontId="0" fillId="4" borderId="0" xfId="0" applyNumberFormat="1" applyFill="1"/>
    <xf numFmtId="178" fontId="0" fillId="0" borderId="0" xfId="0" applyNumberFormat="1"/>
    <xf numFmtId="0" fontId="2" fillId="4" borderId="0" xfId="0" applyFont="1" applyFill="1" applyAlignment="1">
      <alignment wrapText="1"/>
    </xf>
    <xf numFmtId="176" fontId="0" fillId="0" borderId="0" xfId="0" applyNumberFormat="1"/>
    <xf numFmtId="179" fontId="0" fillId="0" borderId="0" xfId="0" applyNumberFormat="1"/>
    <xf numFmtId="2" fontId="0" fillId="0" borderId="0" xfId="0" applyNumberFormat="1"/>
    <xf numFmtId="18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RowHeight="17" x14ac:dyDescent="0.45"/>
  <cols>
    <col min="1" max="1" width="150" customWidth="1"/>
  </cols>
  <sheetData>
    <row r="1" spans="1:1" ht="21" x14ac:dyDescent="0.55000000000000004">
      <c r="A1" s="1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7</v>
      </c>
    </row>
    <row r="11" spans="1:1" x14ac:dyDescent="0.45">
      <c r="A11" t="s">
        <v>8</v>
      </c>
    </row>
    <row r="12" spans="1:1" x14ac:dyDescent="0.45">
      <c r="A12" t="s">
        <v>9</v>
      </c>
    </row>
    <row r="14" spans="1:1" x14ac:dyDescent="0.45">
      <c r="A14" t="s">
        <v>10</v>
      </c>
    </row>
    <row r="15" spans="1:1" x14ac:dyDescent="0.45">
      <c r="A15" t="s">
        <v>11</v>
      </c>
    </row>
    <row r="16" spans="1:1" x14ac:dyDescent="0.45">
      <c r="A16" t="s">
        <v>12</v>
      </c>
    </row>
    <row r="17" spans="1:1" x14ac:dyDescent="0.45">
      <c r="A17" t="s">
        <v>13</v>
      </c>
    </row>
    <row r="18" spans="1:1" x14ac:dyDescent="0.45">
      <c r="A18" t="s">
        <v>14</v>
      </c>
    </row>
    <row r="19" spans="1:1" x14ac:dyDescent="0.45">
      <c r="A19" t="s">
        <v>15</v>
      </c>
    </row>
    <row r="21" spans="1:1" x14ac:dyDescent="0.45">
      <c r="A21" t="s">
        <v>16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/>
  </sheetViews>
  <sheetFormatPr defaultRowHeight="17" x14ac:dyDescent="0.45"/>
  <cols>
    <col min="1" max="1" width="22" customWidth="1"/>
    <col min="2" max="15" width="14" customWidth="1"/>
  </cols>
  <sheetData>
    <row r="1" spans="1:15" ht="34" x14ac:dyDescent="0.4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27</v>
      </c>
      <c r="O1" s="2" t="s">
        <v>30</v>
      </c>
    </row>
    <row r="2" spans="1:15" x14ac:dyDescent="0.45">
      <c r="A2" t="str">
        <f>기수_사망장해!B1</f>
        <v>사망·80% 이상 장해</v>
      </c>
      <c r="B2">
        <f>기수_사망장해!B4</f>
        <v>71</v>
      </c>
      <c r="C2">
        <f>기수_사망장해!B5</f>
        <v>20</v>
      </c>
      <c r="D2" s="3">
        <f>기수_사망장해!E2</f>
        <v>37028.186080300198</v>
      </c>
      <c r="E2" s="4">
        <f>기수_사망장해!E3</f>
        <v>18044821.63646188</v>
      </c>
      <c r="F2" s="5">
        <f>기수_사망장해!E4</f>
        <v>2.0520117530826677E-3</v>
      </c>
      <c r="G2" s="5">
        <f>기수_사망장해!E5</f>
        <v>2.4273736809634384E-2</v>
      </c>
      <c r="H2" s="5">
        <f>기수_사망장해!E10</f>
        <v>2.6064733255100675E-3</v>
      </c>
      <c r="I2" s="6">
        <f>기수_사망장해!E11</f>
        <v>261</v>
      </c>
      <c r="J2" s="7">
        <v>261</v>
      </c>
      <c r="K2" s="6">
        <f>I2-J2</f>
        <v>0</v>
      </c>
      <c r="L2" s="6">
        <f>기수_사망장해!E12</f>
        <v>261000</v>
      </c>
      <c r="M2" s="7">
        <v>261000</v>
      </c>
      <c r="N2" s="6">
        <f>L2-M2</f>
        <v>0</v>
      </c>
      <c r="O2" s="6">
        <f>MAX(MAX(기수_사망장해!R16:R87),-MIN(기수_사망장해!R16:R87))</f>
        <v>0</v>
      </c>
    </row>
    <row r="3" spans="1:15" x14ac:dyDescent="0.45">
      <c r="A3" t="str">
        <f>기수_암진단!B1</f>
        <v>암 진단</v>
      </c>
      <c r="B3">
        <f>기수_암진단!B4</f>
        <v>61</v>
      </c>
      <c r="C3">
        <f>기수_암진단!B5</f>
        <v>20</v>
      </c>
      <c r="D3" s="3">
        <f>기수_암진단!E2</f>
        <v>21792.989151600847</v>
      </c>
      <c r="E3" s="4">
        <f>기수_암진단!E3</f>
        <v>18044821.636461876</v>
      </c>
      <c r="F3" s="5">
        <f>기수_암진단!E4</f>
        <v>1.2077143011247791E-3</v>
      </c>
      <c r="G3" s="5">
        <f>기수_암진단!E5</f>
        <v>1.428634073011247E-2</v>
      </c>
      <c r="H3" s="5">
        <f>기수_암진단!E10</f>
        <v>1.6246051414275189E-3</v>
      </c>
      <c r="I3" s="6">
        <f>기수_암진단!E11</f>
        <v>162</v>
      </c>
      <c r="J3" s="7">
        <v>162</v>
      </c>
      <c r="K3" s="6">
        <f>I3-J3</f>
        <v>0</v>
      </c>
      <c r="L3" s="6">
        <f>기수_암진단!E12</f>
        <v>81000</v>
      </c>
      <c r="M3" s="7">
        <v>81000</v>
      </c>
      <c r="N3" s="6">
        <f>L3-M3</f>
        <v>0</v>
      </c>
      <c r="O3" s="6">
        <f>MAX(MAX(기수_암진단!R16:R77),-MIN(기수_암진단!R16:R77))</f>
        <v>0</v>
      </c>
    </row>
    <row r="4" spans="1:15" x14ac:dyDescent="0.45">
      <c r="A4" s="8" t="s">
        <v>31</v>
      </c>
      <c r="B4" s="8"/>
      <c r="C4" s="8"/>
      <c r="D4" s="8"/>
      <c r="E4" s="8"/>
      <c r="F4" s="8"/>
      <c r="G4" s="8"/>
      <c r="H4" s="8"/>
      <c r="I4" s="9">
        <f>SUM(I2:I3)</f>
        <v>423</v>
      </c>
      <c r="J4" s="9">
        <f>SUM(J2:J3)</f>
        <v>423</v>
      </c>
      <c r="K4" s="9">
        <f>I4-J4</f>
        <v>0</v>
      </c>
      <c r="L4" s="9">
        <f>SUM(L2:L3)</f>
        <v>342000</v>
      </c>
      <c r="M4" s="10">
        <v>342000</v>
      </c>
      <c r="N4" s="9">
        <f>L4-M4</f>
        <v>0</v>
      </c>
      <c r="O4" s="9">
        <f>MAX(O2:O3)</f>
        <v>0</v>
      </c>
    </row>
    <row r="6" spans="1:15" x14ac:dyDescent="0.45">
      <c r="A6" t="s">
        <v>32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7" x14ac:dyDescent="0.45"/>
  <cols>
    <col min="1" max="1" width="34" customWidth="1"/>
    <col min="2" max="3" width="14" customWidth="1"/>
    <col min="4" max="4" width="40" customWidth="1"/>
  </cols>
  <sheetData>
    <row r="1" spans="1:4" x14ac:dyDescent="0.45">
      <c r="A1" s="11" t="s">
        <v>33</v>
      </c>
      <c r="B1" s="11" t="s">
        <v>34</v>
      </c>
      <c r="C1" s="11" t="s">
        <v>35</v>
      </c>
      <c r="D1" s="11" t="s">
        <v>36</v>
      </c>
    </row>
    <row r="2" spans="1:4" x14ac:dyDescent="0.45">
      <c r="A2" t="s">
        <v>37</v>
      </c>
      <c r="B2" s="12">
        <v>2.5000000000000001E-2</v>
      </c>
      <c r="C2" t="s">
        <v>38</v>
      </c>
      <c r="D2" t="s">
        <v>39</v>
      </c>
    </row>
    <row r="3" spans="1:4" x14ac:dyDescent="0.45">
      <c r="A3" t="s">
        <v>40</v>
      </c>
      <c r="B3">
        <f>1/(1+이율)</f>
        <v>0.97560975609756106</v>
      </c>
      <c r="C3" t="s">
        <v>41</v>
      </c>
      <c r="D3" t="e">
        <f>1/(1+i)</f>
        <v>#NAME?</v>
      </c>
    </row>
    <row r="4" spans="1:4" x14ac:dyDescent="0.45">
      <c r="A4" t="s">
        <v>42</v>
      </c>
      <c r="B4" s="12">
        <v>40</v>
      </c>
      <c r="C4" t="s">
        <v>43</v>
      </c>
      <c r="D4" t="s">
        <v>44</v>
      </c>
    </row>
    <row r="5" spans="1:4" x14ac:dyDescent="0.45">
      <c r="A5" t="s">
        <v>45</v>
      </c>
      <c r="B5" s="12">
        <v>20</v>
      </c>
      <c r="C5" t="s">
        <v>46</v>
      </c>
      <c r="D5" t="s">
        <v>47</v>
      </c>
    </row>
    <row r="6" spans="1:4" x14ac:dyDescent="0.45">
      <c r="A6" t="s">
        <v>48</v>
      </c>
      <c r="B6" s="12">
        <v>12</v>
      </c>
      <c r="C6" t="s">
        <v>49</v>
      </c>
      <c r="D6" t="s">
        <v>50</v>
      </c>
    </row>
    <row r="7" spans="1:4" x14ac:dyDescent="0.45">
      <c r="A7" t="s">
        <v>51</v>
      </c>
      <c r="B7">
        <f>MAX(기수_사망장해!B3,기수_암진단!B3)+1-가입나이</f>
        <v>71</v>
      </c>
      <c r="C7" t="s">
        <v>52</v>
      </c>
      <c r="D7" t="s">
        <v>53</v>
      </c>
    </row>
    <row r="8" spans="1:4" x14ac:dyDescent="0.45">
      <c r="A8" t="s">
        <v>54</v>
      </c>
      <c r="B8" s="12">
        <v>0.01</v>
      </c>
      <c r="C8" t="s">
        <v>55</v>
      </c>
      <c r="D8" t="s">
        <v>56</v>
      </c>
    </row>
    <row r="9" spans="1:4" x14ac:dyDescent="0.45">
      <c r="A9" t="s">
        <v>57</v>
      </c>
      <c r="B9" s="12">
        <v>1</v>
      </c>
      <c r="C9" t="s">
        <v>58</v>
      </c>
      <c r="D9" t="s">
        <v>59</v>
      </c>
    </row>
    <row r="10" spans="1:4" x14ac:dyDescent="0.45">
      <c r="A10" t="s">
        <v>60</v>
      </c>
      <c r="B10" s="12">
        <v>1.5E-3</v>
      </c>
      <c r="C10" t="s">
        <v>61</v>
      </c>
      <c r="D10" t="s">
        <v>62</v>
      </c>
    </row>
    <row r="11" spans="1:4" x14ac:dyDescent="0.45">
      <c r="A11" t="s">
        <v>63</v>
      </c>
      <c r="B11" s="12">
        <v>4.4999999999999998E-2</v>
      </c>
      <c r="C11" t="s">
        <v>64</v>
      </c>
    </row>
    <row r="12" spans="1:4" x14ac:dyDescent="0.45">
      <c r="A12" t="s">
        <v>65</v>
      </c>
      <c r="B12" s="12">
        <v>1E-3</v>
      </c>
      <c r="C12" t="s">
        <v>66</v>
      </c>
      <c r="D12" t="s">
        <v>67</v>
      </c>
    </row>
    <row r="13" spans="1:4" x14ac:dyDescent="0.45">
      <c r="A13" t="s">
        <v>68</v>
      </c>
      <c r="B13" s="12">
        <v>2.5000000000000001E-2</v>
      </c>
      <c r="C13" t="s">
        <v>69</v>
      </c>
      <c r="D13" t="s">
        <v>70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8" customWidth="1"/>
    <col min="2" max="4" width="22" customWidth="1"/>
  </cols>
  <sheetData>
    <row r="1" spans="1:4" x14ac:dyDescent="0.45">
      <c r="A1" s="11" t="s">
        <v>71</v>
      </c>
      <c r="B1" s="11" t="s">
        <v>72</v>
      </c>
      <c r="C1" s="11" t="s">
        <v>73</v>
      </c>
      <c r="D1" s="11" t="s">
        <v>74</v>
      </c>
    </row>
    <row r="2" spans="1:4" x14ac:dyDescent="0.45">
      <c r="A2">
        <v>0</v>
      </c>
      <c r="B2" s="13">
        <v>2.9299999999999999E-3</v>
      </c>
      <c r="C2" s="13">
        <v>3.1000000000000001E-5</v>
      </c>
      <c r="D2" s="13">
        <v>2.5599999999999999E-4</v>
      </c>
    </row>
    <row r="3" spans="1:4" x14ac:dyDescent="0.45">
      <c r="A3">
        <v>1</v>
      </c>
      <c r="B3" s="13">
        <v>1.5499999999999999E-3</v>
      </c>
      <c r="C3" s="13">
        <v>3.0000000000000001E-5</v>
      </c>
      <c r="D3" s="13">
        <v>2.24E-4</v>
      </c>
    </row>
    <row r="4" spans="1:4" x14ac:dyDescent="0.45">
      <c r="A4">
        <v>2</v>
      </c>
      <c r="B4" s="13">
        <v>9.2000000000000003E-4</v>
      </c>
      <c r="C4" s="13">
        <v>3.0000000000000001E-5</v>
      </c>
      <c r="D4" s="13">
        <v>1.9699999999999999E-4</v>
      </c>
    </row>
    <row r="5" spans="1:4" x14ac:dyDescent="0.45">
      <c r="A5">
        <v>3</v>
      </c>
      <c r="B5" s="13">
        <v>4.4999999999999999E-4</v>
      </c>
      <c r="C5" s="13">
        <v>2.9E-5</v>
      </c>
      <c r="D5" s="13">
        <v>1.7699999999999999E-4</v>
      </c>
    </row>
    <row r="6" spans="1:4" x14ac:dyDescent="0.45">
      <c r="A6">
        <v>4</v>
      </c>
      <c r="B6" s="13">
        <v>1.7000000000000001E-4</v>
      </c>
      <c r="C6" s="13">
        <v>2.9E-5</v>
      </c>
      <c r="D6" s="13">
        <v>1.66E-4</v>
      </c>
    </row>
    <row r="7" spans="1:4" x14ac:dyDescent="0.45">
      <c r="A7">
        <v>5</v>
      </c>
      <c r="B7" s="13">
        <v>6.0000000000000002E-5</v>
      </c>
      <c r="C7" s="13">
        <v>2.9E-5</v>
      </c>
      <c r="D7" s="13">
        <v>1.6200000000000001E-4</v>
      </c>
    </row>
    <row r="8" spans="1:4" x14ac:dyDescent="0.45">
      <c r="A8">
        <v>6</v>
      </c>
      <c r="B8" s="13">
        <v>6.0000000000000002E-5</v>
      </c>
      <c r="C8" s="13">
        <v>2.8E-5</v>
      </c>
      <c r="D8" s="13">
        <v>1.65E-4</v>
      </c>
    </row>
    <row r="9" spans="1:4" x14ac:dyDescent="0.45">
      <c r="A9">
        <v>7</v>
      </c>
      <c r="B9" s="13">
        <v>9.0000000000000006E-5</v>
      </c>
      <c r="C9" s="13">
        <v>2.6999999999999999E-5</v>
      </c>
      <c r="D9" s="13">
        <v>1.73E-4</v>
      </c>
    </row>
    <row r="10" spans="1:4" x14ac:dyDescent="0.45">
      <c r="A10">
        <v>8</v>
      </c>
      <c r="B10" s="13">
        <v>9.0000000000000006E-5</v>
      </c>
      <c r="C10" s="13">
        <v>2.5000000000000001E-5</v>
      </c>
      <c r="D10" s="13">
        <v>1.8599999999999999E-4</v>
      </c>
    </row>
    <row r="11" spans="1:4" x14ac:dyDescent="0.45">
      <c r="A11">
        <v>9</v>
      </c>
      <c r="B11" s="13">
        <v>9.0000000000000006E-5</v>
      </c>
      <c r="C11" s="13">
        <v>2.4000000000000001E-5</v>
      </c>
      <c r="D11" s="13">
        <v>2.04E-4</v>
      </c>
    </row>
    <row r="12" spans="1:4" x14ac:dyDescent="0.45">
      <c r="A12">
        <v>10</v>
      </c>
      <c r="B12" s="13">
        <v>8.0000000000000007E-5</v>
      </c>
      <c r="C12" s="13">
        <v>2.1999999999999999E-5</v>
      </c>
      <c r="D12" s="13">
        <v>2.2499999999999999E-4</v>
      </c>
    </row>
    <row r="13" spans="1:4" x14ac:dyDescent="0.45">
      <c r="A13">
        <v>11</v>
      </c>
      <c r="B13" s="13">
        <v>9.0000000000000006E-5</v>
      </c>
      <c r="C13" s="13">
        <v>2.0999999999999999E-5</v>
      </c>
      <c r="D13" s="13">
        <v>2.4399999999999999E-4</v>
      </c>
    </row>
    <row r="14" spans="1:4" x14ac:dyDescent="0.45">
      <c r="A14">
        <v>12</v>
      </c>
      <c r="B14" s="13">
        <v>1E-4</v>
      </c>
      <c r="C14" s="13">
        <v>2.0000000000000002E-5</v>
      </c>
      <c r="D14" s="13">
        <v>2.5999999999999998E-4</v>
      </c>
    </row>
    <row r="15" spans="1:4" x14ac:dyDescent="0.45">
      <c r="A15">
        <v>13</v>
      </c>
      <c r="B15" s="13">
        <v>1.2E-4</v>
      </c>
      <c r="C15" s="13">
        <v>1.9000000000000001E-5</v>
      </c>
      <c r="D15" s="13">
        <v>2.7E-4</v>
      </c>
    </row>
    <row r="16" spans="1:4" x14ac:dyDescent="0.45">
      <c r="A16">
        <v>14</v>
      </c>
      <c r="B16" s="13">
        <v>1.4999999999999999E-4</v>
      </c>
      <c r="C16" s="13">
        <v>1.5999999999999999E-5</v>
      </c>
      <c r="D16" s="13">
        <v>2.7799999999999998E-4</v>
      </c>
    </row>
    <row r="17" spans="1:4" x14ac:dyDescent="0.45">
      <c r="A17">
        <v>15</v>
      </c>
      <c r="B17" s="13">
        <v>1.9000000000000001E-4</v>
      </c>
      <c r="C17" s="13">
        <v>2.8E-5</v>
      </c>
      <c r="D17" s="13">
        <v>2.8400000000000002E-4</v>
      </c>
    </row>
    <row r="18" spans="1:4" x14ac:dyDescent="0.45">
      <c r="A18">
        <v>16</v>
      </c>
      <c r="B18" s="13">
        <v>2.2000000000000001E-4</v>
      </c>
      <c r="C18" s="13">
        <v>2.6999999999999999E-5</v>
      </c>
      <c r="D18" s="13">
        <v>2.8899999999999998E-4</v>
      </c>
    </row>
    <row r="19" spans="1:4" x14ac:dyDescent="0.45">
      <c r="A19">
        <v>17</v>
      </c>
      <c r="B19" s="13">
        <v>2.5000000000000001E-4</v>
      </c>
      <c r="C19" s="13">
        <v>2.6999999999999999E-5</v>
      </c>
      <c r="D19" s="13">
        <v>2.9399999999999999E-4</v>
      </c>
    </row>
    <row r="20" spans="1:4" x14ac:dyDescent="0.45">
      <c r="A20">
        <v>18</v>
      </c>
      <c r="B20" s="13">
        <v>2.7999999999999998E-4</v>
      </c>
      <c r="C20" s="13">
        <v>2.6999999999999999E-5</v>
      </c>
      <c r="D20" s="13">
        <v>2.9700000000000001E-4</v>
      </c>
    </row>
    <row r="21" spans="1:4" x14ac:dyDescent="0.45">
      <c r="A21">
        <v>19</v>
      </c>
      <c r="B21" s="13">
        <v>2.9999999999999997E-4</v>
      </c>
      <c r="C21" s="13">
        <v>2.8E-5</v>
      </c>
      <c r="D21" s="13">
        <v>2.99E-4</v>
      </c>
    </row>
    <row r="22" spans="1:4" x14ac:dyDescent="0.45">
      <c r="A22">
        <v>20</v>
      </c>
      <c r="B22" s="13">
        <v>3.2000000000000003E-4</v>
      </c>
      <c r="C22" s="13">
        <v>4.1999999999999998E-5</v>
      </c>
      <c r="D22" s="13">
        <v>3.0299999999999999E-4</v>
      </c>
    </row>
    <row r="23" spans="1:4" x14ac:dyDescent="0.45">
      <c r="A23">
        <v>21</v>
      </c>
      <c r="B23" s="13">
        <v>3.4000000000000002E-4</v>
      </c>
      <c r="C23" s="13">
        <v>4.3999999999999999E-5</v>
      </c>
      <c r="D23" s="13">
        <v>3.1700000000000001E-4</v>
      </c>
    </row>
    <row r="24" spans="1:4" x14ac:dyDescent="0.45">
      <c r="A24">
        <v>22</v>
      </c>
      <c r="B24" s="13">
        <v>3.6000000000000002E-4</v>
      </c>
      <c r="C24" s="13">
        <v>4.6E-5</v>
      </c>
      <c r="D24" s="13">
        <v>3.48E-4</v>
      </c>
    </row>
    <row r="25" spans="1:4" x14ac:dyDescent="0.45">
      <c r="A25">
        <v>23</v>
      </c>
      <c r="B25" s="13">
        <v>3.8000000000000002E-4</v>
      </c>
      <c r="C25" s="13">
        <v>4.6999999999999997E-5</v>
      </c>
      <c r="D25" s="13">
        <v>3.9399999999999998E-4</v>
      </c>
    </row>
    <row r="26" spans="1:4" x14ac:dyDescent="0.45">
      <c r="A26">
        <v>24</v>
      </c>
      <c r="B26" s="13">
        <v>4.0999999999999999E-4</v>
      </c>
      <c r="C26" s="13">
        <v>4.8000000000000001E-5</v>
      </c>
      <c r="D26" s="13">
        <v>4.55E-4</v>
      </c>
    </row>
    <row r="27" spans="1:4" x14ac:dyDescent="0.45">
      <c r="A27">
        <v>25</v>
      </c>
      <c r="B27" s="13">
        <v>4.2999999999999999E-4</v>
      </c>
      <c r="C27" s="13">
        <v>4.8999999999999998E-5</v>
      </c>
      <c r="D27" s="13">
        <v>5.2899999999999996E-4</v>
      </c>
    </row>
    <row r="28" spans="1:4" x14ac:dyDescent="0.45">
      <c r="A28">
        <v>26</v>
      </c>
      <c r="B28" s="13">
        <v>4.4999999999999999E-4</v>
      </c>
      <c r="C28" s="13">
        <v>5.0000000000000002E-5</v>
      </c>
      <c r="D28" s="13">
        <v>6.2E-4</v>
      </c>
    </row>
    <row r="29" spans="1:4" x14ac:dyDescent="0.45">
      <c r="A29">
        <v>27</v>
      </c>
      <c r="B29" s="13">
        <v>4.6999999999999999E-4</v>
      </c>
      <c r="C29" s="13">
        <v>5.0000000000000002E-5</v>
      </c>
      <c r="D29" s="13">
        <v>7.3399999999999995E-4</v>
      </c>
    </row>
    <row r="30" spans="1:4" x14ac:dyDescent="0.45">
      <c r="A30">
        <v>28</v>
      </c>
      <c r="B30" s="13">
        <v>4.6999999999999999E-4</v>
      </c>
      <c r="C30" s="13">
        <v>5.0000000000000002E-5</v>
      </c>
      <c r="D30" s="13">
        <v>8.7799999999999998E-4</v>
      </c>
    </row>
    <row r="31" spans="1:4" x14ac:dyDescent="0.45">
      <c r="A31">
        <v>29</v>
      </c>
      <c r="B31" s="13">
        <v>4.6999999999999999E-4</v>
      </c>
      <c r="C31" s="13">
        <v>5.0000000000000002E-5</v>
      </c>
      <c r="D31" s="13">
        <v>1.0480000000000001E-3</v>
      </c>
    </row>
    <row r="32" spans="1:4" x14ac:dyDescent="0.45">
      <c r="A32">
        <v>30</v>
      </c>
      <c r="B32" s="13">
        <v>4.6000000000000001E-4</v>
      </c>
      <c r="C32" s="13">
        <v>6.3E-5</v>
      </c>
      <c r="D32" s="13">
        <v>1.2310000000000001E-3</v>
      </c>
    </row>
    <row r="33" spans="1:4" x14ac:dyDescent="0.45">
      <c r="A33">
        <v>31</v>
      </c>
      <c r="B33" s="13">
        <v>4.6000000000000001E-4</v>
      </c>
      <c r="C33" s="13">
        <v>6.3E-5</v>
      </c>
      <c r="D33" s="13">
        <v>1.408E-3</v>
      </c>
    </row>
    <row r="34" spans="1:4" x14ac:dyDescent="0.45">
      <c r="A34">
        <v>32</v>
      </c>
      <c r="B34" s="13">
        <v>4.6999999999999999E-4</v>
      </c>
      <c r="C34" s="13">
        <v>6.3E-5</v>
      </c>
      <c r="D34" s="13">
        <v>1.567E-3</v>
      </c>
    </row>
    <row r="35" spans="1:4" x14ac:dyDescent="0.45">
      <c r="A35">
        <v>33</v>
      </c>
      <c r="B35" s="13">
        <v>4.8999999999999998E-4</v>
      </c>
      <c r="C35" s="13">
        <v>6.3999999999999997E-5</v>
      </c>
      <c r="D35" s="13">
        <v>1.7030000000000001E-3</v>
      </c>
    </row>
    <row r="36" spans="1:4" x14ac:dyDescent="0.45">
      <c r="A36">
        <v>34</v>
      </c>
      <c r="B36" s="13">
        <v>5.2999999999999998E-4</v>
      </c>
      <c r="C36" s="13">
        <v>6.7999999999999999E-5</v>
      </c>
      <c r="D36" s="13">
        <v>1.8220000000000001E-3</v>
      </c>
    </row>
    <row r="37" spans="1:4" x14ac:dyDescent="0.45">
      <c r="A37">
        <v>35</v>
      </c>
      <c r="B37" s="13">
        <v>5.6999999999999998E-4</v>
      </c>
      <c r="C37" s="13">
        <v>7.7999999999999999E-5</v>
      </c>
      <c r="D37" s="13">
        <v>1.933E-3</v>
      </c>
    </row>
    <row r="38" spans="1:4" x14ac:dyDescent="0.45">
      <c r="A38">
        <v>36</v>
      </c>
      <c r="B38" s="13">
        <v>6.2E-4</v>
      </c>
      <c r="C38" s="13">
        <v>9.1000000000000003E-5</v>
      </c>
      <c r="D38" s="13">
        <v>2.0449999999999999E-3</v>
      </c>
    </row>
    <row r="39" spans="1:4" x14ac:dyDescent="0.45">
      <c r="A39">
        <v>37</v>
      </c>
      <c r="B39" s="13">
        <v>6.7000000000000002E-4</v>
      </c>
      <c r="C39" s="13">
        <v>1.05E-4</v>
      </c>
      <c r="D39" s="13">
        <v>2.1649999999999998E-3</v>
      </c>
    </row>
    <row r="40" spans="1:4" x14ac:dyDescent="0.45">
      <c r="A40">
        <v>38</v>
      </c>
      <c r="B40" s="13">
        <v>7.2999999999999996E-4</v>
      </c>
      <c r="C40" s="13">
        <v>1.2300000000000001E-4</v>
      </c>
      <c r="D40" s="13">
        <v>2.294E-3</v>
      </c>
    </row>
    <row r="41" spans="1:4" x14ac:dyDescent="0.45">
      <c r="A41">
        <v>39</v>
      </c>
      <c r="B41" s="13">
        <v>7.9000000000000001E-4</v>
      </c>
      <c r="C41" s="13">
        <v>1.3899999999999999E-4</v>
      </c>
      <c r="D41" s="13">
        <v>2.431E-3</v>
      </c>
    </row>
    <row r="42" spans="1:4" x14ac:dyDescent="0.45">
      <c r="A42">
        <v>40</v>
      </c>
      <c r="B42" s="13">
        <v>8.5999999999999998E-4</v>
      </c>
      <c r="C42" s="13">
        <v>1.47E-4</v>
      </c>
      <c r="D42" s="13">
        <v>2.5699999999999998E-3</v>
      </c>
    </row>
    <row r="43" spans="1:4" x14ac:dyDescent="0.45">
      <c r="A43">
        <v>41</v>
      </c>
      <c r="B43" s="13">
        <v>9.3999999999999997E-4</v>
      </c>
      <c r="C43" s="13">
        <v>1.5899999999999999E-4</v>
      </c>
      <c r="D43" s="13">
        <v>2.702E-3</v>
      </c>
    </row>
    <row r="44" spans="1:4" x14ac:dyDescent="0.45">
      <c r="A44">
        <v>42</v>
      </c>
      <c r="B44" s="13">
        <v>1.0499999999999999E-3</v>
      </c>
      <c r="C44" s="13">
        <v>1.7100000000000001E-4</v>
      </c>
      <c r="D44" s="13">
        <v>2.8219999999999999E-3</v>
      </c>
    </row>
    <row r="45" spans="1:4" x14ac:dyDescent="0.45">
      <c r="A45">
        <v>43</v>
      </c>
      <c r="B45" s="13">
        <v>1.1800000000000001E-3</v>
      </c>
      <c r="C45" s="13">
        <v>1.8599999999999999E-4</v>
      </c>
      <c r="D45" s="13">
        <v>2.9229999999999998E-3</v>
      </c>
    </row>
    <row r="46" spans="1:4" x14ac:dyDescent="0.45">
      <c r="A46">
        <v>44</v>
      </c>
      <c r="B46" s="13">
        <v>1.34E-3</v>
      </c>
      <c r="C46" s="13">
        <v>2.04E-4</v>
      </c>
      <c r="D46" s="13">
        <v>3.0079999999999998E-3</v>
      </c>
    </row>
    <row r="47" spans="1:4" x14ac:dyDescent="0.45">
      <c r="A47">
        <v>45</v>
      </c>
      <c r="B47" s="13">
        <v>1.5200000000000001E-3</v>
      </c>
      <c r="C47" s="13">
        <v>2.2900000000000001E-4</v>
      </c>
      <c r="D47" s="13">
        <v>3.091E-3</v>
      </c>
    </row>
    <row r="48" spans="1:4" x14ac:dyDescent="0.45">
      <c r="A48">
        <v>46</v>
      </c>
      <c r="B48" s="13">
        <v>1.6999999999999999E-3</v>
      </c>
      <c r="C48" s="13">
        <v>2.5900000000000001E-4</v>
      </c>
      <c r="D48" s="13">
        <v>3.1960000000000001E-3</v>
      </c>
    </row>
    <row r="49" spans="1:4" x14ac:dyDescent="0.45">
      <c r="A49">
        <v>47</v>
      </c>
      <c r="B49" s="13">
        <v>1.8799999999999999E-3</v>
      </c>
      <c r="C49" s="13">
        <v>2.9399999999999999E-4</v>
      </c>
      <c r="D49" s="13">
        <v>3.3400000000000001E-3</v>
      </c>
    </row>
    <row r="50" spans="1:4" x14ac:dyDescent="0.45">
      <c r="A50">
        <v>48</v>
      </c>
      <c r="B50" s="13">
        <v>2.0600000000000002E-3</v>
      </c>
      <c r="C50" s="13">
        <v>3.2899999999999997E-4</v>
      </c>
      <c r="D50" s="13">
        <v>3.5239999999999998E-3</v>
      </c>
    </row>
    <row r="51" spans="1:4" x14ac:dyDescent="0.45">
      <c r="A51">
        <v>49</v>
      </c>
      <c r="B51" s="13">
        <v>2.2499999999999998E-3</v>
      </c>
      <c r="C51" s="13">
        <v>3.6699999999999998E-4</v>
      </c>
      <c r="D51" s="13">
        <v>3.741E-3</v>
      </c>
    </row>
    <row r="52" spans="1:4" x14ac:dyDescent="0.45">
      <c r="A52">
        <v>50</v>
      </c>
      <c r="B52" s="13">
        <v>2.4399999999999999E-3</v>
      </c>
      <c r="C52" s="13">
        <v>2.5999999999999998E-4</v>
      </c>
      <c r="D52" s="13">
        <v>3.9880000000000002E-3</v>
      </c>
    </row>
    <row r="53" spans="1:4" x14ac:dyDescent="0.45">
      <c r="A53">
        <v>51</v>
      </c>
      <c r="B53" s="13">
        <v>2.65E-3</v>
      </c>
      <c r="C53" s="13">
        <v>2.81E-4</v>
      </c>
      <c r="D53" s="13">
        <v>4.2680000000000001E-3</v>
      </c>
    </row>
    <row r="54" spans="1:4" x14ac:dyDescent="0.45">
      <c r="A54">
        <v>52</v>
      </c>
      <c r="B54" s="13">
        <v>2.8999999999999998E-3</v>
      </c>
      <c r="C54" s="13">
        <v>3.0200000000000002E-4</v>
      </c>
      <c r="D54" s="13">
        <v>4.5909999999999996E-3</v>
      </c>
    </row>
    <row r="55" spans="1:4" x14ac:dyDescent="0.45">
      <c r="A55">
        <v>53</v>
      </c>
      <c r="B55" s="13">
        <v>3.1700000000000001E-3</v>
      </c>
      <c r="C55" s="13">
        <v>3.2299999999999999E-4</v>
      </c>
      <c r="D55" s="13">
        <v>4.9550000000000002E-3</v>
      </c>
    </row>
    <row r="56" spans="1:4" x14ac:dyDescent="0.45">
      <c r="A56">
        <v>54</v>
      </c>
      <c r="B56" s="13">
        <v>3.48E-3</v>
      </c>
      <c r="C56" s="13">
        <v>3.4200000000000002E-4</v>
      </c>
      <c r="D56" s="13">
        <v>5.359E-3</v>
      </c>
    </row>
    <row r="57" spans="1:4" x14ac:dyDescent="0.45">
      <c r="A57">
        <v>55</v>
      </c>
      <c r="B57" s="13">
        <v>3.81E-3</v>
      </c>
      <c r="C57" s="13">
        <v>3.59E-4</v>
      </c>
      <c r="D57" s="13">
        <v>5.8009999999999997E-3</v>
      </c>
    </row>
    <row r="58" spans="1:4" x14ac:dyDescent="0.45">
      <c r="A58">
        <v>56</v>
      </c>
      <c r="B58" s="13">
        <v>4.1900000000000001E-3</v>
      </c>
      <c r="C58" s="13">
        <v>3.7500000000000001E-4</v>
      </c>
      <c r="D58" s="13">
        <v>6.293E-3</v>
      </c>
    </row>
    <row r="59" spans="1:4" x14ac:dyDescent="0.45">
      <c r="A59">
        <v>57</v>
      </c>
      <c r="B59" s="13">
        <v>4.6299999999999996E-3</v>
      </c>
      <c r="C59" s="13">
        <v>3.8900000000000002E-4</v>
      </c>
      <c r="D59" s="13">
        <v>6.8519999999999996E-3</v>
      </c>
    </row>
    <row r="60" spans="1:4" x14ac:dyDescent="0.45">
      <c r="A60">
        <v>58</v>
      </c>
      <c r="B60" s="13">
        <v>5.1399999999999996E-3</v>
      </c>
      <c r="C60" s="13">
        <v>4.0200000000000001E-4</v>
      </c>
      <c r="D60" s="13">
        <v>7.4830000000000001E-3</v>
      </c>
    </row>
    <row r="61" spans="1:4" x14ac:dyDescent="0.45">
      <c r="A61">
        <v>59</v>
      </c>
      <c r="B61" s="13">
        <v>5.7099999999999998E-3</v>
      </c>
      <c r="C61" s="13">
        <v>4.17E-4</v>
      </c>
      <c r="D61" s="13">
        <v>8.1810000000000008E-3</v>
      </c>
    </row>
    <row r="62" spans="1:4" x14ac:dyDescent="0.45">
      <c r="A62">
        <v>60</v>
      </c>
      <c r="B62" s="13">
        <v>6.3299999999999997E-3</v>
      </c>
      <c r="C62" s="13">
        <v>5.1699999999999999E-4</v>
      </c>
      <c r="D62" s="13">
        <v>8.9300000000000004E-3</v>
      </c>
    </row>
    <row r="63" spans="1:4" x14ac:dyDescent="0.45">
      <c r="A63">
        <v>61</v>
      </c>
      <c r="B63" s="13">
        <v>7.0000000000000001E-3</v>
      </c>
      <c r="C63" s="13">
        <v>5.31E-4</v>
      </c>
      <c r="D63" s="13">
        <v>9.724E-3</v>
      </c>
    </row>
    <row r="64" spans="1:4" x14ac:dyDescent="0.45">
      <c r="A64">
        <v>62</v>
      </c>
      <c r="B64" s="13">
        <v>7.7200000000000003E-3</v>
      </c>
      <c r="C64" s="13">
        <v>5.44E-4</v>
      </c>
      <c r="D64" s="13">
        <v>1.057E-2</v>
      </c>
    </row>
    <row r="65" spans="1:4" x14ac:dyDescent="0.45">
      <c r="A65">
        <v>63</v>
      </c>
      <c r="B65" s="13">
        <v>8.4799999999999997E-3</v>
      </c>
      <c r="C65" s="13">
        <v>5.62E-4</v>
      </c>
      <c r="D65" s="13">
        <v>1.1464999999999999E-2</v>
      </c>
    </row>
    <row r="66" spans="1:4" x14ac:dyDescent="0.45">
      <c r="A66">
        <v>64</v>
      </c>
      <c r="B66" s="13">
        <v>9.2800000000000001E-3</v>
      </c>
      <c r="C66" s="13">
        <v>5.9000000000000003E-4</v>
      </c>
      <c r="D66" s="13">
        <v>1.2409E-2</v>
      </c>
    </row>
    <row r="67" spans="1:4" x14ac:dyDescent="0.45">
      <c r="A67">
        <v>65</v>
      </c>
      <c r="B67" s="13">
        <v>1.0149999999999999E-2</v>
      </c>
      <c r="C67" s="13">
        <v>6.29E-4</v>
      </c>
      <c r="D67" s="13">
        <v>1.3401E-2</v>
      </c>
    </row>
    <row r="68" spans="1:4" x14ac:dyDescent="0.45">
      <c r="A68">
        <v>66</v>
      </c>
      <c r="B68" s="13">
        <v>1.116E-2</v>
      </c>
      <c r="C68" s="13">
        <v>6.8099999999999996E-4</v>
      </c>
      <c r="D68" s="13">
        <v>1.4453000000000001E-2</v>
      </c>
    </row>
    <row r="69" spans="1:4" x14ac:dyDescent="0.45">
      <c r="A69">
        <v>67</v>
      </c>
      <c r="B69" s="13">
        <v>1.24E-2</v>
      </c>
      <c r="C69" s="13">
        <v>7.3999999999999999E-4</v>
      </c>
      <c r="D69" s="13">
        <v>1.5585E-2</v>
      </c>
    </row>
    <row r="70" spans="1:4" x14ac:dyDescent="0.45">
      <c r="A70">
        <v>68</v>
      </c>
      <c r="B70" s="13">
        <v>1.391E-2</v>
      </c>
      <c r="C70" s="13">
        <v>8.0500000000000005E-4</v>
      </c>
      <c r="D70" s="13">
        <v>1.6808E-2</v>
      </c>
    </row>
    <row r="71" spans="1:4" x14ac:dyDescent="0.45">
      <c r="A71">
        <v>69</v>
      </c>
      <c r="B71" s="13">
        <v>1.5650000000000001E-2</v>
      </c>
      <c r="C71" s="13">
        <v>8.7000000000000001E-4</v>
      </c>
      <c r="D71" s="13">
        <v>1.8114999999999999E-2</v>
      </c>
    </row>
    <row r="72" spans="1:4" x14ac:dyDescent="0.45">
      <c r="A72">
        <v>70</v>
      </c>
      <c r="B72" s="13">
        <v>1.7510000000000001E-2</v>
      </c>
      <c r="C72" s="13">
        <v>1.0480000000000001E-3</v>
      </c>
      <c r="D72" s="13">
        <v>1.9476E-2</v>
      </c>
    </row>
    <row r="73" spans="1:4" x14ac:dyDescent="0.45">
      <c r="A73">
        <v>71</v>
      </c>
      <c r="B73" s="13">
        <v>1.9369999999999998E-2</v>
      </c>
      <c r="C73" s="13">
        <v>1.111E-3</v>
      </c>
      <c r="D73" s="13">
        <v>2.0858999999999999E-2</v>
      </c>
    </row>
    <row r="74" spans="1:4" x14ac:dyDescent="0.45">
      <c r="A74">
        <v>72</v>
      </c>
      <c r="B74" s="13">
        <v>2.111E-2</v>
      </c>
      <c r="C74" s="13">
        <v>1.175E-3</v>
      </c>
      <c r="D74" s="13">
        <v>2.2248E-2</v>
      </c>
    </row>
    <row r="75" spans="1:4" x14ac:dyDescent="0.45">
      <c r="A75">
        <v>73</v>
      </c>
      <c r="B75" s="13">
        <v>2.265E-2</v>
      </c>
      <c r="C75" s="13">
        <v>1.237E-3</v>
      </c>
      <c r="D75" s="13">
        <v>2.3633000000000001E-2</v>
      </c>
    </row>
    <row r="76" spans="1:4" x14ac:dyDescent="0.45">
      <c r="A76">
        <v>74</v>
      </c>
      <c r="B76" s="13">
        <v>2.402E-2</v>
      </c>
      <c r="C76" s="13">
        <v>1.294E-3</v>
      </c>
      <c r="D76" s="13">
        <v>2.5020000000000001E-2</v>
      </c>
    </row>
    <row r="77" spans="1:4" x14ac:dyDescent="0.45">
      <c r="A77">
        <v>75</v>
      </c>
      <c r="B77" s="13">
        <v>2.546E-2</v>
      </c>
      <c r="C77" s="13">
        <v>1.3470000000000001E-3</v>
      </c>
      <c r="D77" s="13">
        <v>2.6433999999999999E-2</v>
      </c>
    </row>
    <row r="78" spans="1:4" x14ac:dyDescent="0.45">
      <c r="A78">
        <v>76</v>
      </c>
      <c r="B78" s="13">
        <v>2.7349999999999999E-2</v>
      </c>
      <c r="C78" s="13">
        <v>1.3929999999999999E-3</v>
      </c>
      <c r="D78" s="13">
        <v>2.792E-2</v>
      </c>
    </row>
    <row r="79" spans="1:4" x14ac:dyDescent="0.45">
      <c r="A79">
        <v>77</v>
      </c>
      <c r="B79" s="13">
        <v>3.0009999999999998E-2</v>
      </c>
      <c r="C79" s="13">
        <v>1.4369999999999999E-3</v>
      </c>
      <c r="D79" s="13">
        <v>2.9519E-2</v>
      </c>
    </row>
    <row r="80" spans="1:4" x14ac:dyDescent="0.45">
      <c r="A80">
        <v>78</v>
      </c>
      <c r="B80" s="13">
        <v>3.347E-2</v>
      </c>
      <c r="C80" s="13">
        <v>1.4779999999999999E-3</v>
      </c>
      <c r="D80" s="13">
        <v>3.1297999999999999E-2</v>
      </c>
    </row>
    <row r="81" spans="1:4" x14ac:dyDescent="0.45">
      <c r="A81">
        <v>79</v>
      </c>
      <c r="B81" s="13">
        <v>3.7589999999999998E-2</v>
      </c>
      <c r="C81" s="13">
        <v>1.519E-3</v>
      </c>
      <c r="D81" s="13">
        <v>3.3236000000000002E-2</v>
      </c>
    </row>
    <row r="82" spans="1:4" x14ac:dyDescent="0.45">
      <c r="A82">
        <v>80</v>
      </c>
      <c r="B82" s="13">
        <v>4.231E-2</v>
      </c>
      <c r="C82" s="13">
        <v>1.57E-3</v>
      </c>
      <c r="D82" s="13">
        <v>3.5185000000000001E-2</v>
      </c>
    </row>
    <row r="83" spans="1:4" x14ac:dyDescent="0.45">
      <c r="A83">
        <v>81</v>
      </c>
      <c r="B83" s="13">
        <v>4.7710000000000002E-2</v>
      </c>
      <c r="C83" s="13">
        <v>1.601E-3</v>
      </c>
      <c r="D83" s="13">
        <v>3.6922999999999997E-2</v>
      </c>
    </row>
    <row r="84" spans="1:4" x14ac:dyDescent="0.45">
      <c r="A84">
        <v>82</v>
      </c>
      <c r="B84" s="13">
        <v>5.3960000000000001E-2</v>
      </c>
      <c r="C84" s="13">
        <v>1.637E-3</v>
      </c>
      <c r="D84" s="13">
        <v>3.8261999999999997E-2</v>
      </c>
    </row>
    <row r="85" spans="1:4" x14ac:dyDescent="0.45">
      <c r="A85">
        <v>83</v>
      </c>
      <c r="B85" s="13">
        <v>6.1100000000000002E-2</v>
      </c>
      <c r="C85" s="13">
        <v>1.6969999999999999E-3</v>
      </c>
      <c r="D85" s="13">
        <v>3.9146E-2</v>
      </c>
    </row>
    <row r="86" spans="1:4" x14ac:dyDescent="0.45">
      <c r="A86">
        <v>84</v>
      </c>
      <c r="B86" s="13">
        <v>6.905E-2</v>
      </c>
      <c r="C86" s="13">
        <v>1.805E-3</v>
      </c>
      <c r="D86" s="13">
        <v>3.9649999999999998E-2</v>
      </c>
    </row>
    <row r="87" spans="1:4" x14ac:dyDescent="0.45">
      <c r="A87">
        <v>85</v>
      </c>
      <c r="B87" s="13">
        <v>7.7729999999999994E-2</v>
      </c>
      <c r="C87" s="13">
        <v>1.98E-3</v>
      </c>
      <c r="D87" s="13">
        <v>3.9917000000000001E-2</v>
      </c>
    </row>
    <row r="88" spans="1:4" x14ac:dyDescent="0.45">
      <c r="A88">
        <v>86</v>
      </c>
      <c r="B88" s="13">
        <v>8.7220000000000006E-2</v>
      </c>
      <c r="C88" s="13">
        <v>2.2239999999999998E-3</v>
      </c>
      <c r="D88" s="13">
        <v>4.0087999999999999E-2</v>
      </c>
    </row>
    <row r="89" spans="1:4" x14ac:dyDescent="0.45">
      <c r="A89">
        <v>87</v>
      </c>
      <c r="B89" s="13">
        <v>9.7739999999999994E-2</v>
      </c>
      <c r="C89" s="13">
        <v>2.5330000000000001E-3</v>
      </c>
      <c r="D89" s="13">
        <v>4.0238999999999997E-2</v>
      </c>
    </row>
    <row r="90" spans="1:4" x14ac:dyDescent="0.45">
      <c r="A90">
        <v>88</v>
      </c>
      <c r="B90" s="13">
        <v>0.10926</v>
      </c>
      <c r="C90" s="13">
        <v>2.8909999999999999E-3</v>
      </c>
      <c r="D90" s="13">
        <v>4.0361000000000001E-2</v>
      </c>
    </row>
    <row r="91" spans="1:4" x14ac:dyDescent="0.45">
      <c r="A91">
        <v>89</v>
      </c>
      <c r="B91" s="13">
        <v>0.12171</v>
      </c>
      <c r="C91" s="13">
        <v>3.2829999999999999E-3</v>
      </c>
      <c r="D91" s="13">
        <v>4.0418999999999997E-2</v>
      </c>
    </row>
    <row r="92" spans="1:4" x14ac:dyDescent="0.45">
      <c r="A92">
        <v>90</v>
      </c>
      <c r="B92" s="13">
        <v>0.1351</v>
      </c>
      <c r="C92" s="13">
        <v>3.702E-3</v>
      </c>
      <c r="D92" s="13">
        <v>4.0439000000000003E-2</v>
      </c>
    </row>
    <row r="93" spans="1:4" x14ac:dyDescent="0.45">
      <c r="A93">
        <v>91</v>
      </c>
      <c r="B93" s="13">
        <v>0.14968999999999999</v>
      </c>
      <c r="C93" s="13">
        <v>4.1390000000000003E-3</v>
      </c>
      <c r="D93" s="13">
        <v>4.0446000000000003E-2</v>
      </c>
    </row>
    <row r="94" spans="1:4" x14ac:dyDescent="0.45">
      <c r="A94">
        <v>92</v>
      </c>
      <c r="B94" s="13">
        <v>0.16591</v>
      </c>
      <c r="C94" s="13">
        <v>4.5799999999999999E-3</v>
      </c>
      <c r="D94" s="13">
        <v>4.0454999999999998E-2</v>
      </c>
    </row>
    <row r="95" spans="1:4" x14ac:dyDescent="0.45">
      <c r="A95">
        <v>93</v>
      </c>
      <c r="B95" s="13">
        <v>0.18379000000000001</v>
      </c>
      <c r="C95" s="13">
        <v>5.006E-3</v>
      </c>
      <c r="D95" s="13">
        <v>4.0466000000000002E-2</v>
      </c>
    </row>
    <row r="96" spans="1:4" x14ac:dyDescent="0.45">
      <c r="A96">
        <v>94</v>
      </c>
      <c r="B96" s="13">
        <v>0.20316999999999999</v>
      </c>
      <c r="C96" s="13">
        <v>5.4019999999999997E-3</v>
      </c>
      <c r="D96" s="13">
        <v>4.0469999999999999E-2</v>
      </c>
    </row>
    <row r="97" spans="1:4" x14ac:dyDescent="0.45">
      <c r="A97">
        <v>95</v>
      </c>
      <c r="B97" s="13">
        <v>0.22392000000000001</v>
      </c>
      <c r="C97" s="13">
        <v>5.7590000000000002E-3</v>
      </c>
      <c r="D97" s="13">
        <v>4.0472000000000001E-2</v>
      </c>
    </row>
    <row r="98" spans="1:4" x14ac:dyDescent="0.45">
      <c r="A98">
        <v>96</v>
      </c>
      <c r="B98" s="13">
        <v>0.24623</v>
      </c>
      <c r="C98" s="13">
        <v>6.0769999999999999E-3</v>
      </c>
      <c r="D98" s="13">
        <v>4.0473000000000002E-2</v>
      </c>
    </row>
    <row r="99" spans="1:4" x14ac:dyDescent="0.45">
      <c r="A99">
        <v>97</v>
      </c>
      <c r="B99" s="13">
        <v>0.27052999999999999</v>
      </c>
      <c r="C99" s="13">
        <v>6.3629999999999997E-3</v>
      </c>
      <c r="D99" s="13">
        <v>4.0474000000000003E-2</v>
      </c>
    </row>
    <row r="100" spans="1:4" x14ac:dyDescent="0.45">
      <c r="A100">
        <v>98</v>
      </c>
      <c r="B100" s="13">
        <v>0.29698999999999998</v>
      </c>
      <c r="C100" s="13">
        <v>6.6379999999999998E-3</v>
      </c>
      <c r="D100" s="13">
        <v>4.0474000000000003E-2</v>
      </c>
    </row>
    <row r="101" spans="1:4" x14ac:dyDescent="0.45">
      <c r="A101">
        <v>99</v>
      </c>
      <c r="B101" s="13">
        <v>0.32546000000000003</v>
      </c>
      <c r="C101" s="13">
        <v>6.914E-3</v>
      </c>
      <c r="D101" s="13">
        <v>4.0474999999999997E-2</v>
      </c>
    </row>
    <row r="102" spans="1:4" x14ac:dyDescent="0.45">
      <c r="A102">
        <v>100</v>
      </c>
      <c r="B102" s="13">
        <v>0.35547000000000001</v>
      </c>
      <c r="C102" s="13">
        <v>7.2049999999999996E-3</v>
      </c>
      <c r="D102" s="13">
        <v>4.0474999999999997E-2</v>
      </c>
    </row>
    <row r="103" spans="1:4" x14ac:dyDescent="0.45">
      <c r="A103">
        <v>101</v>
      </c>
      <c r="B103" s="13">
        <v>0.38674999999999998</v>
      </c>
      <c r="C103" s="13">
        <v>7.5129999999999997E-3</v>
      </c>
      <c r="D103" s="13">
        <v>4.0474999999999997E-2</v>
      </c>
    </row>
    <row r="104" spans="1:4" x14ac:dyDescent="0.45">
      <c r="A104">
        <v>102</v>
      </c>
      <c r="B104" s="13">
        <v>0.41937000000000002</v>
      </c>
      <c r="C104" s="13">
        <v>7.8329999999999997E-3</v>
      </c>
      <c r="D104" s="13">
        <v>4.0474999999999997E-2</v>
      </c>
    </row>
    <row r="105" spans="1:4" x14ac:dyDescent="0.45">
      <c r="A105">
        <v>103</v>
      </c>
      <c r="B105" s="13">
        <v>0.45090000000000002</v>
      </c>
      <c r="C105" s="13">
        <v>8.1589999999999996E-3</v>
      </c>
      <c r="D105" s="13">
        <v>4.0474999999999997E-2</v>
      </c>
    </row>
    <row r="106" spans="1:4" x14ac:dyDescent="0.45">
      <c r="A106">
        <v>104</v>
      </c>
      <c r="B106" s="13">
        <v>0.48142000000000001</v>
      </c>
      <c r="C106" s="13">
        <v>8.6409999999999994E-3</v>
      </c>
      <c r="D106" s="13">
        <v>4.0475999999999998E-2</v>
      </c>
    </row>
    <row r="107" spans="1:4" x14ac:dyDescent="0.45">
      <c r="A107">
        <v>105</v>
      </c>
      <c r="B107" s="13">
        <v>0.54379999999999995</v>
      </c>
      <c r="C107" s="13">
        <v>9.1520000000000004E-3</v>
      </c>
      <c r="D107" s="13">
        <v>4.0474999999999997E-2</v>
      </c>
    </row>
    <row r="108" spans="1:4" x14ac:dyDescent="0.45">
      <c r="A108">
        <v>106</v>
      </c>
      <c r="B108" s="13">
        <v>0.61426000000000003</v>
      </c>
      <c r="C108" s="13">
        <v>9.6950000000000005E-3</v>
      </c>
      <c r="D108" s="13">
        <v>4.0474999999999997E-2</v>
      </c>
    </row>
    <row r="109" spans="1:4" x14ac:dyDescent="0.45">
      <c r="A109">
        <v>107</v>
      </c>
      <c r="B109" s="13">
        <v>0.69384999999999997</v>
      </c>
      <c r="C109" s="13">
        <v>1.027E-2</v>
      </c>
      <c r="D109" s="13">
        <v>4.0474999999999997E-2</v>
      </c>
    </row>
    <row r="110" spans="1:4" x14ac:dyDescent="0.45">
      <c r="A110">
        <v>108</v>
      </c>
      <c r="B110" s="13">
        <v>0.78374999999999995</v>
      </c>
      <c r="C110" s="13">
        <v>1.0880000000000001E-2</v>
      </c>
      <c r="D110" s="13">
        <v>4.0474999999999997E-2</v>
      </c>
    </row>
    <row r="111" spans="1:4" x14ac:dyDescent="0.45">
      <c r="A111">
        <v>109</v>
      </c>
      <c r="B111" s="13">
        <v>0.88529999999999998</v>
      </c>
      <c r="C111" s="13">
        <v>1.1528E-2</v>
      </c>
      <c r="D111" s="13">
        <v>4.0474999999999997E-2</v>
      </c>
    </row>
    <row r="112" spans="1:4" x14ac:dyDescent="0.45">
      <c r="A112">
        <v>110</v>
      </c>
      <c r="B112" s="13">
        <v>1</v>
      </c>
      <c r="C112" s="13">
        <v>1.1528E-2</v>
      </c>
      <c r="D112" s="13">
        <v>4.0474999999999997E-2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7"/>
  <sheetViews>
    <sheetView workbookViewId="0">
      <pane xSplit="2" ySplit="15" topLeftCell="C16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5" customWidth="1"/>
    <col min="2" max="2" width="6" customWidth="1"/>
    <col min="3" max="3" width="11" customWidth="1"/>
    <col min="4" max="4" width="34" customWidth="1"/>
    <col min="5" max="6" width="16" customWidth="1"/>
    <col min="7" max="11" width="12" customWidth="1"/>
    <col min="12" max="12" width="6" customWidth="1"/>
    <col min="13" max="14" width="13" customWidth="1"/>
    <col min="15" max="15" width="12" customWidth="1"/>
    <col min="16" max="17" width="11" customWidth="1"/>
    <col min="18" max="18" width="7" customWidth="1"/>
  </cols>
  <sheetData>
    <row r="1" spans="1:18" x14ac:dyDescent="0.45">
      <c r="A1" s="14" t="s">
        <v>17</v>
      </c>
      <c r="B1" t="s">
        <v>75</v>
      </c>
      <c r="D1" s="11" t="s">
        <v>33</v>
      </c>
      <c r="E1" s="11" t="s">
        <v>76</v>
      </c>
      <c r="F1" s="11" t="s">
        <v>77</v>
      </c>
      <c r="G1" s="11" t="s">
        <v>27</v>
      </c>
    </row>
    <row r="2" spans="1:18" x14ac:dyDescent="0.45">
      <c r="A2" s="14" t="s">
        <v>78</v>
      </c>
      <c r="B2" s="12">
        <v>100000000</v>
      </c>
      <c r="D2" t="s">
        <v>79</v>
      </c>
      <c r="E2" s="15">
        <f>SUMPRODUCT($L$16:$L$86,$K$16:$K$86)</f>
        <v>37028.186080300198</v>
      </c>
      <c r="F2" s="16">
        <v>37028.186080300213</v>
      </c>
      <c r="G2" s="17">
        <f>E2-F2</f>
        <v>0</v>
      </c>
    </row>
    <row r="3" spans="1:18" x14ac:dyDescent="0.45">
      <c r="A3" s="14" t="s">
        <v>80</v>
      </c>
      <c r="B3" s="12">
        <v>110</v>
      </c>
      <c r="D3" t="s">
        <v>81</v>
      </c>
      <c r="E3" s="15">
        <f>납입주기*(($N$16-INDEX($N$16:$N$87,B5+1))-(납입주기-1)/(2*납입주기)*($J$16-INDEX($J$16:$J$87,B5+1)))</f>
        <v>18044821.63646188</v>
      </c>
      <c r="F3" s="16">
        <v>18044821.63646188</v>
      </c>
      <c r="G3" s="17">
        <f>E3-F3</f>
        <v>0</v>
      </c>
    </row>
    <row r="4" spans="1:18" x14ac:dyDescent="0.45">
      <c r="A4" s="14" t="s">
        <v>82</v>
      </c>
      <c r="B4">
        <f>MIN(보험기간,B3+1-가입나이)</f>
        <v>71</v>
      </c>
      <c r="D4" t="s">
        <v>83</v>
      </c>
      <c r="E4" s="15">
        <f>E2/E3</f>
        <v>2.0520117530826677E-3</v>
      </c>
      <c r="F4" s="16">
        <v>2.0520117530826681E-3</v>
      </c>
      <c r="G4" s="17">
        <f>E4-F4</f>
        <v>0</v>
      </c>
    </row>
    <row r="5" spans="1:18" x14ac:dyDescent="0.45">
      <c r="A5" s="14" t="s">
        <v>84</v>
      </c>
      <c r="B5">
        <f>MIN(납입기간,B4)</f>
        <v>20</v>
      </c>
      <c r="D5" t="s">
        <v>85</v>
      </c>
      <c r="E5" s="15">
        <f>E2/($N$16-INDEX($N$16:$N$87,MIN(B4,20)+1))</f>
        <v>2.4273736809634384E-2</v>
      </c>
      <c r="F5" s="16">
        <v>2.4273736809634391E-2</v>
      </c>
      <c r="G5" s="17">
        <f>E5-F5</f>
        <v>0</v>
      </c>
    </row>
    <row r="6" spans="1:18" x14ac:dyDescent="0.45">
      <c r="A6" s="14" t="s">
        <v>86</v>
      </c>
      <c r="B6" s="12">
        <v>0</v>
      </c>
      <c r="D6" t="s">
        <v>87</v>
      </c>
      <c r="E6" s="15">
        <f>알파P*MIN(B4,20)/20</f>
        <v>1</v>
      </c>
      <c r="F6" s="15"/>
      <c r="G6" s="17"/>
    </row>
    <row r="7" spans="1:18" x14ac:dyDescent="0.45">
      <c r="A7" s="14" t="s">
        <v>88</v>
      </c>
      <c r="B7">
        <f>MAX(0,1-B6/12)</f>
        <v>1</v>
      </c>
      <c r="D7" t="s">
        <v>89</v>
      </c>
      <c r="E7" s="15">
        <f>(알파S+E6*E5)*$J$16/E3</f>
        <v>1.8993668931800302E-4</v>
      </c>
      <c r="F7" s="15"/>
      <c r="G7" s="17"/>
    </row>
    <row r="8" spans="1:18" x14ac:dyDescent="0.45">
      <c r="A8" s="14" t="s">
        <v>90</v>
      </c>
      <c r="B8" t="s">
        <v>91</v>
      </c>
      <c r="D8" t="s">
        <v>92</v>
      </c>
      <c r="E8" s="15">
        <f>베타S/납입주기</f>
        <v>1.25E-4</v>
      </c>
      <c r="F8" s="15"/>
      <c r="G8" s="17"/>
    </row>
    <row r="9" spans="1:18" x14ac:dyDescent="0.45">
      <c r="A9" s="14" t="s">
        <v>93</v>
      </c>
      <c r="B9" t="s">
        <v>94</v>
      </c>
      <c r="D9" t="s">
        <v>95</v>
      </c>
      <c r="E9" s="15">
        <f>베타후*(INDEX($M$16:$M$87,B5+1)-$M$87)/E3</f>
        <v>5.7071750323691623E-5</v>
      </c>
      <c r="F9" s="15"/>
      <c r="G9" s="17"/>
    </row>
    <row r="10" spans="1:18" x14ac:dyDescent="0.45">
      <c r="A10" s="14" t="s">
        <v>96</v>
      </c>
      <c r="B10" t="s">
        <v>97</v>
      </c>
      <c r="D10" t="s">
        <v>98</v>
      </c>
      <c r="E10" s="15">
        <f>(E4+E7+E8+E9)/(1-베타G-감마)</f>
        <v>2.6064733255100675E-3</v>
      </c>
      <c r="F10" s="16">
        <v>2.6064733255100679E-3</v>
      </c>
      <c r="G10" s="17">
        <f>E10-F10</f>
        <v>0</v>
      </c>
    </row>
    <row r="11" spans="1:18" x14ac:dyDescent="0.45">
      <c r="D11" t="s">
        <v>99</v>
      </c>
      <c r="E11" s="6">
        <f>ROUND(E10*100000,0)</f>
        <v>261</v>
      </c>
      <c r="F11" s="7">
        <v>261</v>
      </c>
      <c r="G11" s="17">
        <f>E11-F11</f>
        <v>0</v>
      </c>
    </row>
    <row r="12" spans="1:18" x14ac:dyDescent="0.45">
      <c r="D12" t="s">
        <v>100</v>
      </c>
      <c r="E12" s="6">
        <f>E11*B2/100000</f>
        <v>261000</v>
      </c>
      <c r="F12" s="7">
        <v>261000</v>
      </c>
      <c r="G12" s="17">
        <f>E12-F12</f>
        <v>0</v>
      </c>
    </row>
    <row r="13" spans="1:18" x14ac:dyDescent="0.45">
      <c r="D13" t="s">
        <v>101</v>
      </c>
      <c r="E13" s="15">
        <f>(E2+베타후*(INDEX($M$16:$M$87,B5+1)-$M$87))/($N$16-INDEX($N$16:$N$87,B5+1))</f>
        <v>2.4948852166328271E-2</v>
      </c>
      <c r="F13" s="16">
        <v>2.4948852166328282E-2</v>
      </c>
      <c r="G13" s="17">
        <f>E13-F13</f>
        <v>0</v>
      </c>
    </row>
    <row r="15" spans="1:18" ht="34" x14ac:dyDescent="0.45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109</v>
      </c>
      <c r="I15" s="2" t="s">
        <v>110</v>
      </c>
      <c r="J15" s="2" t="s">
        <v>111</v>
      </c>
      <c r="K15" s="2" t="s">
        <v>112</v>
      </c>
      <c r="L15" s="2" t="s">
        <v>113</v>
      </c>
      <c r="M15" s="2" t="s">
        <v>114</v>
      </c>
      <c r="N15" s="2" t="s">
        <v>115</v>
      </c>
      <c r="O15" s="2" t="s">
        <v>116</v>
      </c>
      <c r="P15" s="2" t="s">
        <v>117</v>
      </c>
      <c r="Q15" s="18" t="s">
        <v>118</v>
      </c>
      <c r="R15" s="2" t="s">
        <v>27</v>
      </c>
    </row>
    <row r="16" spans="1:18" x14ac:dyDescent="0.45">
      <c r="A16">
        <v>0</v>
      </c>
      <c r="B16">
        <f t="shared" ref="B16:B47" si="0">가입나이+A16</f>
        <v>40</v>
      </c>
      <c r="C16" s="19">
        <f>INDEX(위험률!$B:$B,B16+2)</f>
        <v>8.5999999999999998E-4</v>
      </c>
      <c r="D16" s="19">
        <f>INDEX(위험률!$C:$C,B16+2)</f>
        <v>1.47E-4</v>
      </c>
      <c r="E16" s="19">
        <f>INDEX(위험률!$D:$D,B16+2)</f>
        <v>2.5699999999999998E-3</v>
      </c>
      <c r="F16" s="19">
        <f t="shared" ref="F16:F47" si="1">MIN(1,C16+D16-C16*D16/2)</f>
        <v>1.00693679E-3</v>
      </c>
      <c r="G16" s="20">
        <v>100000</v>
      </c>
      <c r="H16" s="20">
        <v>100000</v>
      </c>
      <c r="I16" s="20">
        <f t="shared" ref="I16:I47" si="2">G16*현가율^A16</f>
        <v>100000</v>
      </c>
      <c r="J16" s="20">
        <f t="shared" ref="J16:J47" si="3">H16*현가율^A16</f>
        <v>100000</v>
      </c>
      <c r="K16" s="20">
        <f t="shared" ref="K16:K47" si="4">G16*F16*현가율^(A16+0.5)</f>
        <v>99.458126943833264</v>
      </c>
      <c r="L16" s="21">
        <f t="shared" ref="L16:L47" si="5">IF(A16=0,$B$7,1)</f>
        <v>1</v>
      </c>
      <c r="M16" s="20">
        <f>SUM(I16:$I$87)</f>
        <v>2600472.7526278114</v>
      </c>
      <c r="N16" s="20">
        <f>SUM(J16:$J$87)</f>
        <v>2300538.312403921</v>
      </c>
      <c r="O16" s="22">
        <f>IF(I16&lt;=0,0,(IF(A16&lt;$B$4,SUMPRODUCT(L16:$L$86,K16:$K$86),0)+베타후*(INDEX($M$16:$M$87,MAX(A16,$B$5)+1)-$M$87)-IF(A16&lt;=$B$5,$E$13*(N16-INDEX($N$16:$N$87,$B$5+1)),0))/I16)</f>
        <v>0</v>
      </c>
      <c r="P16" s="6">
        <f t="shared" ref="P16:P47" si="6">ROUND(O16*100000,0)</f>
        <v>0</v>
      </c>
      <c r="Q16" s="7">
        <v>0</v>
      </c>
      <c r="R16" s="6">
        <f t="shared" ref="R16:R47" si="7">P16-Q16</f>
        <v>0</v>
      </c>
    </row>
    <row r="17" spans="1:18" x14ac:dyDescent="0.45">
      <c r="A17">
        <v>1</v>
      </c>
      <c r="B17">
        <f t="shared" si="0"/>
        <v>41</v>
      </c>
      <c r="C17" s="19">
        <f>INDEX(위험률!$B:$B,B17+2)</f>
        <v>9.3999999999999997E-4</v>
      </c>
      <c r="D17" s="19">
        <f>INDEX(위험률!$C:$C,B17+2)</f>
        <v>1.5899999999999999E-4</v>
      </c>
      <c r="E17" s="19">
        <f>INDEX(위험률!$D:$D,B17+2)</f>
        <v>2.702E-3</v>
      </c>
      <c r="F17" s="19">
        <f t="shared" si="1"/>
        <v>1.09892527E-3</v>
      </c>
      <c r="G17" s="20">
        <f t="shared" ref="G17:G48" si="8">G16*MAX(0,1-F16)</f>
        <v>99899.306320999996</v>
      </c>
      <c r="H17" s="20">
        <f t="shared" ref="H17:H48" si="9">H16*MAX(0,1-F16-E16+F16*E16/2)</f>
        <v>99642.435712377526</v>
      </c>
      <c r="I17" s="20">
        <f t="shared" si="2"/>
        <v>97462.737874146347</v>
      </c>
      <c r="J17" s="20">
        <f t="shared" si="3"/>
        <v>97212.132402319548</v>
      </c>
      <c r="K17" s="20">
        <f t="shared" si="4"/>
        <v>105.79005299464264</v>
      </c>
      <c r="L17" s="21">
        <f t="shared" si="5"/>
        <v>1</v>
      </c>
      <c r="M17" s="20">
        <f>SUM(I17:$I$87)</f>
        <v>2500472.7526278119</v>
      </c>
      <c r="N17" s="20">
        <f>SUM(J17:$J$87)</f>
        <v>2200538.3124039206</v>
      </c>
      <c r="O17" s="22">
        <f>IF(I17&lt;=0,0,(IF(A17&lt;$B$4,SUMPRODUCT(L17:$L$86,K17:$K$86),0)+베타후*(INDEX($M$16:$M$87,MAX(A17,$B$5)+1)-$M$87)-IF(A17&lt;=$B$5,$E$13*(N17-INDEX($N$16:$N$87,$B$5+1)),0))/I17)</f>
        <v>2.4577876036913887E-2</v>
      </c>
      <c r="P17" s="6">
        <f t="shared" si="6"/>
        <v>2458</v>
      </c>
      <c r="Q17" s="7">
        <v>2458</v>
      </c>
      <c r="R17" s="6">
        <f t="shared" si="7"/>
        <v>0</v>
      </c>
    </row>
    <row r="18" spans="1:18" x14ac:dyDescent="0.45">
      <c r="A18">
        <v>2</v>
      </c>
      <c r="B18">
        <f t="shared" si="0"/>
        <v>42</v>
      </c>
      <c r="C18" s="19">
        <f>INDEX(위험률!$B:$B,B18+2)</f>
        <v>1.0499999999999999E-3</v>
      </c>
      <c r="D18" s="19">
        <f>INDEX(위험률!$C:$C,B18+2)</f>
        <v>1.7100000000000001E-4</v>
      </c>
      <c r="E18" s="19">
        <f>INDEX(위험률!$D:$D,B18+2)</f>
        <v>2.8219999999999999E-3</v>
      </c>
      <c r="F18" s="19">
        <f t="shared" si="1"/>
        <v>1.2209102249999999E-3</v>
      </c>
      <c r="G18" s="20">
        <f t="shared" si="8"/>
        <v>99789.524448828379</v>
      </c>
      <c r="H18" s="20">
        <f t="shared" si="9"/>
        <v>99263.850194460858</v>
      </c>
      <c r="I18" s="20">
        <f t="shared" si="2"/>
        <v>94981.10595962251</v>
      </c>
      <c r="J18" s="20">
        <f t="shared" si="3"/>
        <v>94480.761636607611</v>
      </c>
      <c r="K18" s="20">
        <f t="shared" si="4"/>
        <v>114.54048571371931</v>
      </c>
      <c r="L18" s="21">
        <f t="shared" si="5"/>
        <v>1</v>
      </c>
      <c r="M18" s="20">
        <f>SUM(I18:$I$87)</f>
        <v>2403010.0147536653</v>
      </c>
      <c r="N18" s="20">
        <f>SUM(J18:$J$87)</f>
        <v>2103326.1800016006</v>
      </c>
      <c r="O18" s="22">
        <f>IF(I18&lt;=0,0,(IF(A18&lt;$B$4,SUMPRODUCT(L18:$L$86,K18:$K$86),0)+베타후*(INDEX($M$16:$M$87,MAX(A18,$B$5)+1)-$M$87)-IF(A18&lt;=$B$5,$E$13*(N18-INDEX($N$16:$N$87,$B$5+1)),0))/I18)</f>
        <v>4.964111661089475E-2</v>
      </c>
      <c r="P18" s="6">
        <f t="shared" si="6"/>
        <v>4964</v>
      </c>
      <c r="Q18" s="7">
        <v>4964</v>
      </c>
      <c r="R18" s="6">
        <f t="shared" si="7"/>
        <v>0</v>
      </c>
    </row>
    <row r="19" spans="1:18" x14ac:dyDescent="0.45">
      <c r="A19">
        <v>3</v>
      </c>
      <c r="B19">
        <f t="shared" si="0"/>
        <v>43</v>
      </c>
      <c r="C19" s="19">
        <f>INDEX(위험률!$B:$B,B19+2)</f>
        <v>1.1800000000000001E-3</v>
      </c>
      <c r="D19" s="19">
        <f>INDEX(위험률!$C:$C,B19+2)</f>
        <v>1.8599999999999999E-4</v>
      </c>
      <c r="E19" s="19">
        <f>INDEX(위험률!$D:$D,B19+2)</f>
        <v>2.9229999999999998E-3</v>
      </c>
      <c r="F19" s="19">
        <f t="shared" si="1"/>
        <v>1.3658902600000001E-3</v>
      </c>
      <c r="G19" s="20">
        <f t="shared" si="8"/>
        <v>99667.690398080915</v>
      </c>
      <c r="H19" s="20">
        <f t="shared" si="9"/>
        <v>98862.706361801102</v>
      </c>
      <c r="I19" s="20">
        <f t="shared" si="2"/>
        <v>92551.358591389857</v>
      </c>
      <c r="J19" s="20">
        <f t="shared" si="3"/>
        <v>91803.850889500623</v>
      </c>
      <c r="K19" s="20">
        <f t="shared" si="4"/>
        <v>124.86383621941052</v>
      </c>
      <c r="L19" s="21">
        <f t="shared" si="5"/>
        <v>1</v>
      </c>
      <c r="M19" s="20">
        <f>SUM(I19:$I$87)</f>
        <v>2308028.9087940431</v>
      </c>
      <c r="N19" s="20">
        <f>SUM(J19:$J$87)</f>
        <v>2008845.4183649935</v>
      </c>
      <c r="O19" s="22">
        <f>IF(I19&lt;=0,0,(IF(A19&lt;$B$4,SUMPRODUCT(L19:$L$86,K19:$K$86),0)+베타후*(INDEX($M$16:$M$87,MAX(A19,$B$5)+1)-$M$87)-IF(A19&lt;=$B$5,$E$13*(N19-INDEX($N$16:$N$87,$B$5+1)),0))/I19)</f>
        <v>7.5175711427543881E-2</v>
      </c>
      <c r="P19" s="6">
        <f t="shared" si="6"/>
        <v>7518</v>
      </c>
      <c r="Q19" s="7">
        <v>7518</v>
      </c>
      <c r="R19" s="6">
        <f t="shared" si="7"/>
        <v>0</v>
      </c>
    </row>
    <row r="20" spans="1:18" x14ac:dyDescent="0.45">
      <c r="A20">
        <v>4</v>
      </c>
      <c r="B20">
        <f t="shared" si="0"/>
        <v>44</v>
      </c>
      <c r="C20" s="19">
        <f>INDEX(위험률!$B:$B,B20+2)</f>
        <v>1.34E-3</v>
      </c>
      <c r="D20" s="19">
        <f>INDEX(위험률!$C:$C,B20+2)</f>
        <v>2.04E-4</v>
      </c>
      <c r="E20" s="19">
        <f>INDEX(위험률!$D:$D,B20+2)</f>
        <v>3.0079999999999998E-3</v>
      </c>
      <c r="F20" s="19">
        <f t="shared" si="1"/>
        <v>1.5438633199999999E-3</v>
      </c>
      <c r="G20" s="20">
        <f t="shared" si="8"/>
        <v>99531.555270529483</v>
      </c>
      <c r="H20" s="20">
        <f t="shared" si="9"/>
        <v>98438.892417949377</v>
      </c>
      <c r="I20" s="20">
        <f t="shared" si="2"/>
        <v>90170.676675258641</v>
      </c>
      <c r="J20" s="20">
        <f t="shared" si="3"/>
        <v>89180.778059414952</v>
      </c>
      <c r="K20" s="20">
        <f t="shared" si="4"/>
        <v>137.5030226804447</v>
      </c>
      <c r="L20" s="21">
        <f t="shared" si="5"/>
        <v>1</v>
      </c>
      <c r="M20" s="20">
        <f>SUM(I20:$I$87)</f>
        <v>2215477.5502026533</v>
      </c>
      <c r="N20" s="20">
        <f>SUM(J20:$J$87)</f>
        <v>1917041.5674754926</v>
      </c>
      <c r="O20" s="22">
        <f>IF(I20&lt;=0,0,(IF(A20&lt;$B$4,SUMPRODUCT(L20:$L$86,K20:$K$86),0)+베타후*(INDEX($M$16:$M$87,MAX(A20,$B$5)+1)-$M$87)-IF(A20&lt;=$B$5,$E$13*(N20-INDEX($N$16:$N$87,$B$5+1)),0))/I20)</f>
        <v>0.10117647366085578</v>
      </c>
      <c r="P20" s="6">
        <f t="shared" si="6"/>
        <v>10118</v>
      </c>
      <c r="Q20" s="7">
        <v>10118</v>
      </c>
      <c r="R20" s="6">
        <f t="shared" si="7"/>
        <v>0</v>
      </c>
    </row>
    <row r="21" spans="1:18" x14ac:dyDescent="0.45">
      <c r="A21">
        <v>5</v>
      </c>
      <c r="B21">
        <f t="shared" si="0"/>
        <v>45</v>
      </c>
      <c r="C21" s="19">
        <f>INDEX(위험률!$B:$B,B21+2)</f>
        <v>1.5200000000000001E-3</v>
      </c>
      <c r="D21" s="19">
        <f>INDEX(위험률!$C:$C,B21+2)</f>
        <v>2.2900000000000001E-4</v>
      </c>
      <c r="E21" s="19">
        <f>INDEX(위험률!$D:$D,B21+2)</f>
        <v>3.091E-3</v>
      </c>
      <c r="F21" s="19">
        <f t="shared" si="1"/>
        <v>1.7488259600000001E-3</v>
      </c>
      <c r="G21" s="20">
        <f t="shared" si="8"/>
        <v>99377.892153164765</v>
      </c>
      <c r="H21" s="20">
        <f t="shared" si="9"/>
        <v>97991.040606488357</v>
      </c>
      <c r="I21" s="20">
        <f t="shared" si="2"/>
        <v>87835.576073170872</v>
      </c>
      <c r="J21" s="20">
        <f t="shared" si="3"/>
        <v>86609.801387363041</v>
      </c>
      <c r="K21" s="20">
        <f t="shared" si="4"/>
        <v>151.72428959560335</v>
      </c>
      <c r="L21" s="21">
        <f t="shared" si="5"/>
        <v>1</v>
      </c>
      <c r="M21" s="20">
        <f>SUM(I21:$I$87)</f>
        <v>2125306.8735273946</v>
      </c>
      <c r="N21" s="20">
        <f>SUM(J21:$J$87)</f>
        <v>1827860.7894160778</v>
      </c>
      <c r="O21" s="22">
        <f>IF(I21&lt;=0,0,(IF(A21&lt;$B$4,SUMPRODUCT(L21:$L$86,K21:$K$86),0)+베타후*(INDEX($M$16:$M$87,MAX(A21,$B$5)+1)-$M$87)-IF(A21&lt;=$B$5,$E$13*(N21-INDEX($N$16:$N$87,$B$5+1)),0))/I21)</f>
        <v>0.12763172532139996</v>
      </c>
      <c r="P21" s="6">
        <f t="shared" si="6"/>
        <v>12763</v>
      </c>
      <c r="Q21" s="7">
        <v>12763</v>
      </c>
      <c r="R21" s="6">
        <f t="shared" si="7"/>
        <v>0</v>
      </c>
    </row>
    <row r="22" spans="1:18" x14ac:dyDescent="0.45">
      <c r="A22">
        <v>6</v>
      </c>
      <c r="B22">
        <f t="shared" si="0"/>
        <v>46</v>
      </c>
      <c r="C22" s="19">
        <f>INDEX(위험률!$B:$B,B22+2)</f>
        <v>1.6999999999999999E-3</v>
      </c>
      <c r="D22" s="19">
        <f>INDEX(위험률!$C:$C,B22+2)</f>
        <v>2.5900000000000001E-4</v>
      </c>
      <c r="E22" s="19">
        <f>INDEX(위험률!$D:$D,B22+2)</f>
        <v>3.1960000000000001E-3</v>
      </c>
      <c r="F22" s="19">
        <f t="shared" si="1"/>
        <v>1.95877985E-3</v>
      </c>
      <c r="G22" s="20">
        <f t="shared" si="8"/>
        <v>99204.09751551722</v>
      </c>
      <c r="H22" s="20">
        <f t="shared" si="9"/>
        <v>97517.045875529191</v>
      </c>
      <c r="I22" s="20">
        <f t="shared" si="2"/>
        <v>85543.38237807079</v>
      </c>
      <c r="J22" s="20">
        <f t="shared" si="3"/>
        <v>84088.643036195586</v>
      </c>
      <c r="K22" s="20">
        <f t="shared" si="4"/>
        <v>165.50461689641577</v>
      </c>
      <c r="L22" s="21">
        <f t="shared" si="5"/>
        <v>1</v>
      </c>
      <c r="M22" s="20">
        <f>SUM(I22:$I$87)</f>
        <v>2037471.2974542235</v>
      </c>
      <c r="N22" s="20">
        <f>SUM(J22:$J$87)</f>
        <v>1741250.9880287147</v>
      </c>
      <c r="O22" s="22">
        <f>IF(I22&lt;=0,0,(IF(A22&lt;$B$4,SUMPRODUCT(L22:$L$86,K22:$K$86),0)+베타후*(INDEX($M$16:$M$87,MAX(A22,$B$5)+1)-$M$87)-IF(A22&lt;=$B$5,$E$13*(N22-INDEX($N$16:$N$87,$B$5+1)),0))/I22)</f>
        <v>0.15453792675351996</v>
      </c>
      <c r="P22" s="6">
        <f t="shared" si="6"/>
        <v>15454</v>
      </c>
      <c r="Q22" s="7">
        <v>15454</v>
      </c>
      <c r="R22" s="6">
        <f t="shared" si="7"/>
        <v>0</v>
      </c>
    </row>
    <row r="23" spans="1:18" x14ac:dyDescent="0.45">
      <c r="A23">
        <v>7</v>
      </c>
      <c r="B23">
        <f t="shared" si="0"/>
        <v>47</v>
      </c>
      <c r="C23" s="19">
        <f>INDEX(위험률!$B:$B,B23+2)</f>
        <v>1.8799999999999999E-3</v>
      </c>
      <c r="D23" s="19">
        <f>INDEX(위험률!$C:$C,B23+2)</f>
        <v>2.9399999999999999E-4</v>
      </c>
      <c r="E23" s="19">
        <f>INDEX(위험률!$D:$D,B23+2)</f>
        <v>3.3400000000000001E-3</v>
      </c>
      <c r="F23" s="19">
        <f t="shared" si="1"/>
        <v>2.1737236399999998E-3</v>
      </c>
      <c r="G23" s="20">
        <f t="shared" si="8"/>
        <v>99009.778528266383</v>
      </c>
      <c r="H23" s="20">
        <f t="shared" si="9"/>
        <v>97014.672213468817</v>
      </c>
      <c r="I23" s="20">
        <f t="shared" si="2"/>
        <v>83293.484609139297</v>
      </c>
      <c r="J23" s="20">
        <f t="shared" si="3"/>
        <v>81615.071026204707</v>
      </c>
      <c r="K23" s="20">
        <f t="shared" si="4"/>
        <v>178.83537393033674</v>
      </c>
      <c r="L23" s="21">
        <f t="shared" si="5"/>
        <v>1</v>
      </c>
      <c r="M23" s="20">
        <f>SUM(I23:$I$87)</f>
        <v>1951927.9150761529</v>
      </c>
      <c r="N23" s="20">
        <f>SUM(J23:$J$87)</f>
        <v>1657162.3449925194</v>
      </c>
      <c r="O23" s="22">
        <f>IF(I23&lt;=0,0,(IF(A23&lt;$B$4,SUMPRODUCT(L23:$L$86,K23:$K$86),0)+베타후*(INDEX($M$16:$M$87,MAX(A23,$B$5)+1)-$M$87)-IF(A23&lt;=$B$5,$E$13*(N23-INDEX($N$16:$N$87,$B$5+1)),0))/I23)</f>
        <v>0.18191227727323189</v>
      </c>
      <c r="P23" s="6">
        <f t="shared" si="6"/>
        <v>18191</v>
      </c>
      <c r="Q23" s="7">
        <v>18191</v>
      </c>
      <c r="R23" s="6">
        <f t="shared" si="7"/>
        <v>0</v>
      </c>
    </row>
    <row r="24" spans="1:18" x14ac:dyDescent="0.45">
      <c r="A24">
        <v>8</v>
      </c>
      <c r="B24">
        <f t="shared" si="0"/>
        <v>48</v>
      </c>
      <c r="C24" s="19">
        <f>INDEX(위험률!$B:$B,B24+2)</f>
        <v>2.0600000000000002E-3</v>
      </c>
      <c r="D24" s="19">
        <f>INDEX(위험률!$C:$C,B24+2)</f>
        <v>3.2899999999999997E-4</v>
      </c>
      <c r="E24" s="19">
        <f>INDEX(위험률!$D:$D,B24+2)</f>
        <v>3.5239999999999998E-3</v>
      </c>
      <c r="F24" s="19">
        <f t="shared" si="1"/>
        <v>2.3886611300000002E-3</v>
      </c>
      <c r="G24" s="20">
        <f t="shared" si="8"/>
        <v>98794.55863208833</v>
      </c>
      <c r="H24" s="20">
        <f t="shared" si="9"/>
        <v>96480.112296612875</v>
      </c>
      <c r="I24" s="20">
        <f t="shared" si="2"/>
        <v>81085.295212279452</v>
      </c>
      <c r="J24" s="20">
        <f t="shared" si="3"/>
        <v>79185.721319107048</v>
      </c>
      <c r="K24" s="20">
        <f t="shared" si="4"/>
        <v>191.30869622136714</v>
      </c>
      <c r="L24" s="21">
        <f t="shared" si="5"/>
        <v>1</v>
      </c>
      <c r="M24" s="20">
        <f>SUM(I24:$I$87)</f>
        <v>1868634.4304670137</v>
      </c>
      <c r="N24" s="20">
        <f>SUM(J24:$J$87)</f>
        <v>1575547.2739663145</v>
      </c>
      <c r="O24" s="22">
        <f>IF(I24&lt;=0,0,(IF(A24&lt;$B$4,SUMPRODUCT(L24:$L$86,K24:$K$86),0)+베타후*(INDEX($M$16:$M$87,MAX(A24,$B$5)+1)-$M$87)-IF(A24&lt;=$B$5,$E$13*(N24-INDEX($N$16:$N$87,$B$5+1)),0))/I24)</f>
        <v>0.20977261524901444</v>
      </c>
      <c r="P24" s="6">
        <f t="shared" si="6"/>
        <v>20977</v>
      </c>
      <c r="Q24" s="7">
        <v>20977</v>
      </c>
      <c r="R24" s="6">
        <f t="shared" si="7"/>
        <v>0</v>
      </c>
    </row>
    <row r="25" spans="1:18" x14ac:dyDescent="0.45">
      <c r="A25">
        <v>9</v>
      </c>
      <c r="B25">
        <f t="shared" si="0"/>
        <v>49</v>
      </c>
      <c r="C25" s="19">
        <f>INDEX(위험률!$B:$B,B25+2)</f>
        <v>2.2499999999999998E-3</v>
      </c>
      <c r="D25" s="19">
        <f>INDEX(위험률!$C:$C,B25+2)</f>
        <v>3.6699999999999998E-4</v>
      </c>
      <c r="E25" s="19">
        <f>INDEX(위험률!$D:$D,B25+2)</f>
        <v>3.741E-3</v>
      </c>
      <c r="F25" s="19">
        <f t="shared" si="1"/>
        <v>2.616587125E-3</v>
      </c>
      <c r="G25" s="20">
        <f t="shared" si="8"/>
        <v>98558.571910028346</v>
      </c>
      <c r="H25" s="20">
        <f t="shared" si="9"/>
        <v>95910.064154332795</v>
      </c>
      <c r="I25" s="20">
        <f t="shared" si="2"/>
        <v>78918.643823796388</v>
      </c>
      <c r="J25" s="20">
        <f t="shared" si="3"/>
        <v>76797.908547446146</v>
      </c>
      <c r="K25" s="20">
        <f t="shared" si="4"/>
        <v>203.96369964574546</v>
      </c>
      <c r="L25" s="21">
        <f t="shared" si="5"/>
        <v>1</v>
      </c>
      <c r="M25" s="20">
        <f>SUM(I25:$I$87)</f>
        <v>1787549.1352547342</v>
      </c>
      <c r="N25" s="20">
        <f>SUM(J25:$J$87)</f>
        <v>1496361.5526472074</v>
      </c>
      <c r="O25" s="22">
        <f>IF(I25&lt;=0,0,(IF(A25&lt;$B$4,SUMPRODUCT(L25:$L$86,K25:$K$86),0)+베타후*(INDEX($M$16:$M$87,MAX(A25,$B$5)+1)-$M$87)-IF(A25&lt;=$B$5,$E$13*(N25-INDEX($N$16:$N$87,$B$5+1)),0))/I25)</f>
        <v>0.23814092187813884</v>
      </c>
      <c r="P25" s="6">
        <f t="shared" si="6"/>
        <v>23814</v>
      </c>
      <c r="Q25" s="7">
        <v>23814</v>
      </c>
      <c r="R25" s="6">
        <f t="shared" si="7"/>
        <v>0</v>
      </c>
    </row>
    <row r="26" spans="1:18" x14ac:dyDescent="0.45">
      <c r="A26">
        <v>10</v>
      </c>
      <c r="B26">
        <f t="shared" si="0"/>
        <v>50</v>
      </c>
      <c r="C26" s="19">
        <f>INDEX(위험률!$B:$B,B26+2)</f>
        <v>2.4399999999999999E-3</v>
      </c>
      <c r="D26" s="19">
        <f>INDEX(위험률!$C:$C,B26+2)</f>
        <v>2.5999999999999998E-4</v>
      </c>
      <c r="E26" s="19">
        <f>INDEX(위험률!$D:$D,B26+2)</f>
        <v>3.9880000000000002E-3</v>
      </c>
      <c r="F26" s="19">
        <f t="shared" si="1"/>
        <v>2.6996827999999995E-3</v>
      </c>
      <c r="G26" s="20">
        <f t="shared" si="8"/>
        <v>98300.684819710179</v>
      </c>
      <c r="H26" s="20">
        <f t="shared" si="9"/>
        <v>95300.776980448776</v>
      </c>
      <c r="I26" s="20">
        <f t="shared" si="2"/>
        <v>76792.337869702038</v>
      </c>
      <c r="J26" s="20">
        <f t="shared" si="3"/>
        <v>74448.814660346558</v>
      </c>
      <c r="K26" s="20">
        <f t="shared" si="4"/>
        <v>204.77111561592409</v>
      </c>
      <c r="L26" s="21">
        <f t="shared" si="5"/>
        <v>1</v>
      </c>
      <c r="M26" s="20">
        <f>SUM(I26:$I$87)</f>
        <v>1708630.4914309375</v>
      </c>
      <c r="N26" s="20">
        <f>SUM(J26:$J$87)</f>
        <v>1419563.6440997613</v>
      </c>
      <c r="O26" s="22">
        <f>IF(I26&lt;=0,0,(IF(A26&lt;$B$4,SUMPRODUCT(L26:$L$86,K26:$K$86),0)+베타후*(INDEX($M$16:$M$87,MAX(A26,$B$5)+1)-$M$87)-IF(A26&lt;=$B$5,$E$13*(N26-INDEX($N$16:$N$87,$B$5+1)),0))/I26)</f>
        <v>0.26702943457396017</v>
      </c>
      <c r="P26" s="6">
        <f t="shared" si="6"/>
        <v>26703</v>
      </c>
      <c r="Q26" s="7">
        <v>26703</v>
      </c>
      <c r="R26" s="6">
        <f t="shared" si="7"/>
        <v>0</v>
      </c>
    </row>
    <row r="27" spans="1:18" x14ac:dyDescent="0.45">
      <c r="A27">
        <v>11</v>
      </c>
      <c r="B27">
        <f t="shared" si="0"/>
        <v>51</v>
      </c>
      <c r="C27" s="19">
        <f>INDEX(위험률!$B:$B,B27+2)</f>
        <v>2.65E-3</v>
      </c>
      <c r="D27" s="19">
        <f>INDEX(위험률!$C:$C,B27+2)</f>
        <v>2.81E-4</v>
      </c>
      <c r="E27" s="19">
        <f>INDEX(위험률!$D:$D,B27+2)</f>
        <v>4.2680000000000001E-3</v>
      </c>
      <c r="F27" s="19">
        <f t="shared" si="1"/>
        <v>2.9306276750000002E-3</v>
      </c>
      <c r="G27" s="20">
        <f t="shared" si="8"/>
        <v>98035.304151674194</v>
      </c>
      <c r="H27" s="20">
        <f t="shared" si="9"/>
        <v>94663.948633455671</v>
      </c>
      <c r="I27" s="20">
        <f t="shared" si="2"/>
        <v>74717.095527788711</v>
      </c>
      <c r="J27" s="20">
        <f t="shared" si="3"/>
        <v>72147.63451073358</v>
      </c>
      <c r="K27" s="20">
        <f t="shared" si="4"/>
        <v>216.28116241639003</v>
      </c>
      <c r="L27" s="21">
        <f t="shared" si="5"/>
        <v>1</v>
      </c>
      <c r="M27" s="20">
        <f>SUM(I27:$I$87)</f>
        <v>1631838.1535612356</v>
      </c>
      <c r="N27" s="20">
        <f>SUM(J27:$J$87)</f>
        <v>1345114.8294394149</v>
      </c>
      <c r="O27" s="22">
        <f>IF(I27&lt;=0,0,(IF(A27&lt;$B$4,SUMPRODUCT(L27:$L$86,K27:$K$86),0)+베타후*(INDEX($M$16:$M$87,MAX(A27,$B$5)+1)-$M$87)-IF(A27&lt;=$B$5,$E$13*(N27-INDEX($N$16:$N$87,$B$5+1)),0))/I27)</f>
        <v>0.29656473876211281</v>
      </c>
      <c r="P27" s="6">
        <f t="shared" si="6"/>
        <v>29656</v>
      </c>
      <c r="Q27" s="7">
        <v>29656</v>
      </c>
      <c r="R27" s="6">
        <f t="shared" si="7"/>
        <v>0</v>
      </c>
    </row>
    <row r="28" spans="1:18" x14ac:dyDescent="0.45">
      <c r="A28">
        <v>12</v>
      </c>
      <c r="B28">
        <f t="shared" si="0"/>
        <v>52</v>
      </c>
      <c r="C28" s="19">
        <f>INDEX(위험률!$B:$B,B28+2)</f>
        <v>2.8999999999999998E-3</v>
      </c>
      <c r="D28" s="19">
        <f>INDEX(위험률!$C:$C,B28+2)</f>
        <v>3.0200000000000002E-4</v>
      </c>
      <c r="E28" s="19">
        <f>INDEX(위험률!$D:$D,B28+2)</f>
        <v>4.5909999999999996E-3</v>
      </c>
      <c r="F28" s="19">
        <f t="shared" si="1"/>
        <v>3.2015620999999998E-3</v>
      </c>
      <c r="G28" s="20">
        <f t="shared" si="8"/>
        <v>97747.999176200261</v>
      </c>
      <c r="H28" s="20">
        <f t="shared" si="9"/>
        <v>93983.090137495019</v>
      </c>
      <c r="I28" s="20">
        <f t="shared" si="2"/>
        <v>72681.100038867677</v>
      </c>
      <c r="J28" s="20">
        <f t="shared" si="3"/>
        <v>69881.679766478119</v>
      </c>
      <c r="K28" s="20">
        <f t="shared" si="4"/>
        <v>229.83781762573594</v>
      </c>
      <c r="L28" s="21">
        <f t="shared" si="5"/>
        <v>1</v>
      </c>
      <c r="M28" s="20">
        <f>SUM(I28:$I$87)</f>
        <v>1557121.0580334468</v>
      </c>
      <c r="N28" s="20">
        <f>SUM(J28:$J$87)</f>
        <v>1272967.1949286817</v>
      </c>
      <c r="O28" s="22">
        <f>IF(I28&lt;=0,0,(IF(A28&lt;$B$4,SUMPRODUCT(L28:$L$86,K28:$K$86),0)+베타후*(INDEX($M$16:$M$87,MAX(A28,$B$5)+1)-$M$87)-IF(A28&lt;=$B$5,$E$13*(N28-INDEX($N$16:$N$87,$B$5+1)),0))/I28)</f>
        <v>0.32666230159846305</v>
      </c>
      <c r="P28" s="6">
        <f t="shared" si="6"/>
        <v>32666</v>
      </c>
      <c r="Q28" s="7">
        <v>32666</v>
      </c>
      <c r="R28" s="6">
        <f t="shared" si="7"/>
        <v>0</v>
      </c>
    </row>
    <row r="29" spans="1:18" x14ac:dyDescent="0.45">
      <c r="A29">
        <v>13</v>
      </c>
      <c r="B29">
        <f t="shared" si="0"/>
        <v>53</v>
      </c>
      <c r="C29" s="19">
        <f>INDEX(위험률!$B:$B,B29+2)</f>
        <v>3.1700000000000001E-3</v>
      </c>
      <c r="D29" s="19">
        <f>INDEX(위험률!$C:$C,B29+2)</f>
        <v>3.2299999999999999E-4</v>
      </c>
      <c r="E29" s="19">
        <f>INDEX(위험률!$D:$D,B29+2)</f>
        <v>4.9550000000000002E-3</v>
      </c>
      <c r="F29" s="19">
        <f t="shared" si="1"/>
        <v>3.492488045E-3</v>
      </c>
      <c r="G29" s="20">
        <f t="shared" si="8"/>
        <v>97435.052886686914</v>
      </c>
      <c r="H29" s="20">
        <f t="shared" si="9"/>
        <v>93251.411770440231</v>
      </c>
      <c r="I29" s="20">
        <f t="shared" si="2"/>
        <v>70681.372666923839</v>
      </c>
      <c r="J29" s="20">
        <f t="shared" si="3"/>
        <v>67646.474156774813</v>
      </c>
      <c r="K29" s="20">
        <f t="shared" si="4"/>
        <v>243.82485274705726</v>
      </c>
      <c r="L29" s="21">
        <f t="shared" si="5"/>
        <v>1</v>
      </c>
      <c r="M29" s="20">
        <f>SUM(I29:$I$87)</f>
        <v>1484439.9579945791</v>
      </c>
      <c r="N29" s="20">
        <f>SUM(J29:$J$87)</f>
        <v>1203085.5151622039</v>
      </c>
      <c r="O29" s="22">
        <f>IF(I29&lt;=0,0,(IF(A29&lt;$B$4,SUMPRODUCT(L29:$L$86,K29:$K$86),0)+베타후*(INDEX($M$16:$M$87,MAX(A29,$B$5)+1)-$M$87)-IF(A29&lt;=$B$5,$E$13*(N29-INDEX($N$16:$N$87,$B$5+1)),0))/I29)</f>
        <v>0.35731911178949438</v>
      </c>
      <c r="P29" s="6">
        <f t="shared" si="6"/>
        <v>35732</v>
      </c>
      <c r="Q29" s="7">
        <v>35732</v>
      </c>
      <c r="R29" s="6">
        <f t="shared" si="7"/>
        <v>0</v>
      </c>
    </row>
    <row r="30" spans="1:18" x14ac:dyDescent="0.45">
      <c r="A30">
        <v>14</v>
      </c>
      <c r="B30">
        <f t="shared" si="0"/>
        <v>54</v>
      </c>
      <c r="C30" s="19">
        <f>INDEX(위험률!$B:$B,B30+2)</f>
        <v>3.48E-3</v>
      </c>
      <c r="D30" s="19">
        <f>INDEX(위험률!$C:$C,B30+2)</f>
        <v>3.4200000000000002E-4</v>
      </c>
      <c r="E30" s="19">
        <f>INDEX(위험률!$D:$D,B30+2)</f>
        <v>5.359E-3</v>
      </c>
      <c r="F30" s="19">
        <f t="shared" si="1"/>
        <v>3.8214049199999998E-3</v>
      </c>
      <c r="G30" s="20">
        <f t="shared" si="8"/>
        <v>97094.762129316208</v>
      </c>
      <c r="H30" s="20">
        <f t="shared" si="9"/>
        <v>92464.478455144606</v>
      </c>
      <c r="I30" s="20">
        <f t="shared" si="2"/>
        <v>68716.603724761386</v>
      </c>
      <c r="J30" s="20">
        <f t="shared" si="3"/>
        <v>65439.626044466793</v>
      </c>
      <c r="K30" s="20">
        <f t="shared" si="4"/>
        <v>259.37183366015398</v>
      </c>
      <c r="L30" s="21">
        <f t="shared" si="5"/>
        <v>1</v>
      </c>
      <c r="M30" s="20">
        <f>SUM(I30:$I$87)</f>
        <v>1413758.5853276551</v>
      </c>
      <c r="N30" s="20">
        <f>SUM(J30:$J$87)</f>
        <v>1135439.0410054291</v>
      </c>
      <c r="O30" s="22">
        <f>IF(I30&lt;=0,0,(IF(A30&lt;$B$4,SUMPRODUCT(L30:$L$86,K30:$K$86),0)+베타후*(INDEX($M$16:$M$87,MAX(A30,$B$5)+1)-$M$87)-IF(A30&lt;=$B$5,$E$13*(N30-INDEX($N$16:$N$87,$B$5+1)),0))/I30)</f>
        <v>0.38854775825235022</v>
      </c>
      <c r="P30" s="6">
        <f t="shared" si="6"/>
        <v>38855</v>
      </c>
      <c r="Q30" s="7">
        <v>38855</v>
      </c>
      <c r="R30" s="6">
        <f t="shared" si="7"/>
        <v>0</v>
      </c>
    </row>
    <row r="31" spans="1:18" x14ac:dyDescent="0.45">
      <c r="A31">
        <v>15</v>
      </c>
      <c r="B31">
        <f t="shared" si="0"/>
        <v>55</v>
      </c>
      <c r="C31" s="19">
        <f>INDEX(위험률!$B:$B,B31+2)</f>
        <v>3.81E-3</v>
      </c>
      <c r="D31" s="19">
        <f>INDEX(위험률!$C:$C,B31+2)</f>
        <v>3.59E-4</v>
      </c>
      <c r="E31" s="19">
        <f>INDEX(위험률!$D:$D,B31+2)</f>
        <v>5.8009999999999997E-3</v>
      </c>
      <c r="F31" s="19">
        <f t="shared" si="1"/>
        <v>4.168316105E-3</v>
      </c>
      <c r="G31" s="20">
        <f t="shared" si="8"/>
        <v>96723.723727609002</v>
      </c>
      <c r="H31" s="20">
        <f t="shared" si="9"/>
        <v>91616.563888028206</v>
      </c>
      <c r="I31" s="20">
        <f t="shared" si="2"/>
        <v>66784.399763123802</v>
      </c>
      <c r="J31" s="20">
        <f t="shared" si="3"/>
        <v>63258.081800621942</v>
      </c>
      <c r="K31" s="20">
        <f t="shared" si="4"/>
        <v>274.96267275010894</v>
      </c>
      <c r="L31" s="21">
        <f t="shared" si="5"/>
        <v>1</v>
      </c>
      <c r="M31" s="20">
        <f>SUM(I31:$I$87)</f>
        <v>1345041.9816028934</v>
      </c>
      <c r="N31" s="20">
        <f>SUM(J31:$J$87)</f>
        <v>1069999.414960962</v>
      </c>
      <c r="O31" s="22">
        <f>IF(I31&lt;=0,0,(IF(A31&lt;$B$4,SUMPRODUCT(L31:$L$86,K31:$K$86),0)+베타후*(INDEX($M$16:$M$87,MAX(A31,$B$5)+1)-$M$87)-IF(A31&lt;=$B$5,$E$13*(N31-INDEX($N$16:$N$87,$B$5+1)),0))/I31)</f>
        <v>0.42035197072797792</v>
      </c>
      <c r="P31" s="6">
        <f t="shared" si="6"/>
        <v>42035</v>
      </c>
      <c r="Q31" s="7">
        <v>42035</v>
      </c>
      <c r="R31" s="6">
        <f t="shared" si="7"/>
        <v>0</v>
      </c>
    </row>
    <row r="32" spans="1:18" x14ac:dyDescent="0.45">
      <c r="A32">
        <v>16</v>
      </c>
      <c r="B32">
        <f t="shared" si="0"/>
        <v>56</v>
      </c>
      <c r="C32" s="19">
        <f>INDEX(위험률!$B:$B,B32+2)</f>
        <v>4.1900000000000001E-3</v>
      </c>
      <c r="D32" s="19">
        <f>INDEX(위험률!$C:$C,B32+2)</f>
        <v>3.7500000000000001E-4</v>
      </c>
      <c r="E32" s="19">
        <f>INDEX(위험률!$D:$D,B32+2)</f>
        <v>6.293E-3</v>
      </c>
      <c r="F32" s="19">
        <f t="shared" si="1"/>
        <v>4.5642143750000003E-3</v>
      </c>
      <c r="G32" s="20">
        <f t="shared" si="8"/>
        <v>96320.54867225964</v>
      </c>
      <c r="H32" s="20">
        <f t="shared" si="9"/>
        <v>90704.317064834278</v>
      </c>
      <c r="I32" s="20">
        <f t="shared" si="2"/>
        <v>64883.923194174058</v>
      </c>
      <c r="J32" s="20">
        <f t="shared" si="3"/>
        <v>61100.689551093412</v>
      </c>
      <c r="K32" s="20">
        <f t="shared" si="4"/>
        <v>292.51032696355969</v>
      </c>
      <c r="L32" s="21">
        <f t="shared" si="5"/>
        <v>1</v>
      </c>
      <c r="M32" s="20">
        <f>SUM(I32:$I$87)</f>
        <v>1278257.5818397698</v>
      </c>
      <c r="N32" s="20">
        <f>SUM(J32:$J$87)</f>
        <v>1006741.3331603402</v>
      </c>
      <c r="O32" s="22">
        <f>IF(I32&lt;=0,0,(IF(A32&lt;$B$4,SUMPRODUCT(L32:$L$86,K32:$K$86),0)+베타후*(INDEX($M$16:$M$87,MAX(A32,$B$5)+1)-$M$87)-IF(A32&lt;=$B$5,$E$13*(N32-INDEX($N$16:$N$87,$B$5+1)),0))/I32)</f>
        <v>0.45275018011504869</v>
      </c>
      <c r="P32" s="6">
        <f t="shared" si="6"/>
        <v>45275</v>
      </c>
      <c r="Q32" s="7">
        <v>45275</v>
      </c>
      <c r="R32" s="6">
        <f t="shared" si="7"/>
        <v>0</v>
      </c>
    </row>
    <row r="33" spans="1:18" x14ac:dyDescent="0.45">
      <c r="A33">
        <v>17</v>
      </c>
      <c r="B33">
        <f t="shared" si="0"/>
        <v>57</v>
      </c>
      <c r="C33" s="19">
        <f>INDEX(위험률!$B:$B,B33+2)</f>
        <v>4.6299999999999996E-3</v>
      </c>
      <c r="D33" s="19">
        <f>INDEX(위험률!$C:$C,B33+2)</f>
        <v>3.8900000000000002E-4</v>
      </c>
      <c r="E33" s="19">
        <f>INDEX(위험률!$D:$D,B33+2)</f>
        <v>6.8519999999999996E-3</v>
      </c>
      <c r="F33" s="19">
        <f t="shared" si="1"/>
        <v>5.0180994649999993E-3</v>
      </c>
      <c r="G33" s="20">
        <f t="shared" si="8"/>
        <v>95880.92103940183</v>
      </c>
      <c r="H33" s="20">
        <f t="shared" si="9"/>
        <v>89720.823481680229</v>
      </c>
      <c r="I33" s="20">
        <f t="shared" si="2"/>
        <v>63012.467374853484</v>
      </c>
      <c r="J33" s="20">
        <f t="shared" si="3"/>
        <v>58964.081708821628</v>
      </c>
      <c r="K33" s="20">
        <f t="shared" si="4"/>
        <v>312.32289257189456</v>
      </c>
      <c r="L33" s="21">
        <f t="shared" si="5"/>
        <v>1</v>
      </c>
      <c r="M33" s="20">
        <f>SUM(I33:$I$87)</f>
        <v>1213373.6586455959</v>
      </c>
      <c r="N33" s="20">
        <f>SUM(J33:$J$87)</f>
        <v>945640.64360924682</v>
      </c>
      <c r="O33" s="22">
        <f>IF(I33&lt;=0,0,(IF(A33&lt;$B$4,SUMPRODUCT(L33:$L$86,K33:$K$86),0)+베타후*(INDEX($M$16:$M$87,MAX(A33,$B$5)+1)-$M$87)-IF(A33&lt;=$B$5,$E$13*(N33-INDEX($N$16:$N$87,$B$5+1)),0))/I33)</f>
        <v>0.48574656622405982</v>
      </c>
      <c r="P33" s="6">
        <f t="shared" si="6"/>
        <v>48575</v>
      </c>
      <c r="Q33" s="7">
        <v>48575</v>
      </c>
      <c r="R33" s="6">
        <f t="shared" si="7"/>
        <v>0</v>
      </c>
    </row>
    <row r="34" spans="1:18" x14ac:dyDescent="0.45">
      <c r="A34">
        <v>18</v>
      </c>
      <c r="B34">
        <f t="shared" si="0"/>
        <v>58</v>
      </c>
      <c r="C34" s="19">
        <f>INDEX(위험률!$B:$B,B34+2)</f>
        <v>5.1399999999999996E-3</v>
      </c>
      <c r="D34" s="19">
        <f>INDEX(위험률!$C:$C,B34+2)</f>
        <v>4.0200000000000001E-4</v>
      </c>
      <c r="E34" s="19">
        <f>INDEX(위험률!$D:$D,B34+2)</f>
        <v>7.4830000000000001E-3</v>
      </c>
      <c r="F34" s="19">
        <f t="shared" si="1"/>
        <v>5.5409668599999996E-3</v>
      </c>
      <c r="G34" s="20">
        <f t="shared" si="8"/>
        <v>95399.781040830305</v>
      </c>
      <c r="H34" s="20">
        <f t="shared" si="9"/>
        <v>88657.370864054858</v>
      </c>
      <c r="I34" s="20">
        <f t="shared" si="2"/>
        <v>61167.087361981859</v>
      </c>
      <c r="J34" s="20">
        <f t="shared" si="3"/>
        <v>56844.08380983922</v>
      </c>
      <c r="K34" s="20">
        <f t="shared" si="4"/>
        <v>334.76605994498328</v>
      </c>
      <c r="L34" s="21">
        <f t="shared" si="5"/>
        <v>1</v>
      </c>
      <c r="M34" s="20">
        <f>SUM(I34:$I$87)</f>
        <v>1150361.1912707426</v>
      </c>
      <c r="N34" s="20">
        <f>SUM(J34:$J$87)</f>
        <v>886676.56190042512</v>
      </c>
      <c r="O34" s="22">
        <f>IF(I34&lt;=0,0,(IF(A34&lt;$B$4,SUMPRODUCT(L34:$L$86,K34:$K$86),0)+베타후*(INDEX($M$16:$M$87,MAX(A34,$B$5)+1)-$M$87)-IF(A34&lt;=$B$5,$E$13*(N34-INDEX($N$16:$N$87,$B$5+1)),0))/I34)</f>
        <v>0.51934552210655083</v>
      </c>
      <c r="P34" s="6">
        <f t="shared" si="6"/>
        <v>51935</v>
      </c>
      <c r="Q34" s="7">
        <v>51935</v>
      </c>
      <c r="R34" s="6">
        <f t="shared" si="7"/>
        <v>0</v>
      </c>
    </row>
    <row r="35" spans="1:18" x14ac:dyDescent="0.45">
      <c r="A35">
        <v>19</v>
      </c>
      <c r="B35">
        <f t="shared" si="0"/>
        <v>59</v>
      </c>
      <c r="C35" s="19">
        <f>INDEX(위험률!$B:$B,B35+2)</f>
        <v>5.7099999999999998E-3</v>
      </c>
      <c r="D35" s="19">
        <f>INDEX(위험률!$C:$C,B35+2)</f>
        <v>4.17E-4</v>
      </c>
      <c r="E35" s="19">
        <f>INDEX(위험률!$D:$D,B35+2)</f>
        <v>8.1810000000000008E-3</v>
      </c>
      <c r="F35" s="19">
        <f t="shared" si="1"/>
        <v>6.1258094649999997E-3</v>
      </c>
      <c r="G35" s="20">
        <f t="shared" si="8"/>
        <v>94871.174015631797</v>
      </c>
      <c r="H35" s="20">
        <f t="shared" si="9"/>
        <v>87504.538206749407</v>
      </c>
      <c r="I35" s="20">
        <f t="shared" si="2"/>
        <v>59344.548837059905</v>
      </c>
      <c r="J35" s="20">
        <f t="shared" si="3"/>
        <v>54736.513961756013</v>
      </c>
      <c r="K35" s="20">
        <f t="shared" si="4"/>
        <v>359.07269752560438</v>
      </c>
      <c r="L35" s="21">
        <f t="shared" si="5"/>
        <v>1</v>
      </c>
      <c r="M35" s="20">
        <f>SUM(I35:$I$87)</f>
        <v>1089194.1039087609</v>
      </c>
      <c r="N35" s="20">
        <f>SUM(J35:$J$87)</f>
        <v>829832.47809058579</v>
      </c>
      <c r="O35" s="22">
        <f>IF(I35&lt;=0,0,(IF(A35&lt;$B$4,SUMPRODUCT(L35:$L$86,K35:$K$86),0)+베타후*(INDEX($M$16:$M$87,MAX(A35,$B$5)+1)-$M$87)-IF(A35&lt;=$B$5,$E$13*(N35-INDEX($N$16:$N$87,$B$5+1)),0))/I35)</f>
        <v>0.55355179454642656</v>
      </c>
      <c r="P35" s="6">
        <f t="shared" si="6"/>
        <v>55355</v>
      </c>
      <c r="Q35" s="7">
        <v>55355</v>
      </c>
      <c r="R35" s="6">
        <f t="shared" si="7"/>
        <v>0</v>
      </c>
    </row>
    <row r="36" spans="1:18" x14ac:dyDescent="0.45">
      <c r="A36">
        <v>20</v>
      </c>
      <c r="B36">
        <f t="shared" si="0"/>
        <v>60</v>
      </c>
      <c r="C36" s="19">
        <f>INDEX(위험률!$B:$B,B36+2)</f>
        <v>6.3299999999999997E-3</v>
      </c>
      <c r="D36" s="19">
        <f>INDEX(위험률!$C:$C,B36+2)</f>
        <v>5.1699999999999999E-4</v>
      </c>
      <c r="E36" s="19">
        <f>INDEX(위험률!$D:$D,B36+2)</f>
        <v>8.9300000000000004E-3</v>
      </c>
      <c r="F36" s="19">
        <f t="shared" si="1"/>
        <v>6.8453636949999995E-3</v>
      </c>
      <c r="G36" s="20">
        <f t="shared" si="8"/>
        <v>94290.011279891187</v>
      </c>
      <c r="H36" s="20">
        <f t="shared" si="9"/>
        <v>86254.820107085761</v>
      </c>
      <c r="I36" s="20">
        <f t="shared" si="2"/>
        <v>57542.454085948964</v>
      </c>
      <c r="J36" s="20">
        <f t="shared" si="3"/>
        <v>52638.810392870044</v>
      </c>
      <c r="K36" s="20">
        <f t="shared" si="4"/>
        <v>389.06572619131913</v>
      </c>
      <c r="L36" s="21">
        <f t="shared" si="5"/>
        <v>1</v>
      </c>
      <c r="M36" s="20">
        <f>SUM(I36:$I$87)</f>
        <v>1029849.5550717009</v>
      </c>
      <c r="N36" s="20">
        <f>SUM(J36:$J$87)</f>
        <v>775095.96412882977</v>
      </c>
      <c r="O36" s="22">
        <f>IF(I36&lt;=0,0,(IF(A36&lt;$B$4,SUMPRODUCT(L36:$L$86,K36:$K$86),0)+베타후*(INDEX($M$16:$M$87,MAX(A36,$B$5)+1)-$M$87)-IF(A36&lt;=$B$5,$E$13*(N36-INDEX($N$16:$N$87,$B$5+1)),0))/I36)</f>
        <v>0.58837987605009545</v>
      </c>
      <c r="P36" s="6">
        <f t="shared" si="6"/>
        <v>58838</v>
      </c>
      <c r="Q36" s="7">
        <v>58838</v>
      </c>
      <c r="R36" s="6">
        <f t="shared" si="7"/>
        <v>0</v>
      </c>
    </row>
    <row r="37" spans="1:18" x14ac:dyDescent="0.45">
      <c r="A37">
        <v>21</v>
      </c>
      <c r="B37">
        <f t="shared" si="0"/>
        <v>61</v>
      </c>
      <c r="C37" s="19">
        <f>INDEX(위험률!$B:$B,B37+2)</f>
        <v>7.0000000000000001E-3</v>
      </c>
      <c r="D37" s="19">
        <f>INDEX(위험률!$C:$C,B37+2)</f>
        <v>5.31E-4</v>
      </c>
      <c r="E37" s="19">
        <f>INDEX(위험률!$D:$D,B37+2)</f>
        <v>9.724E-3</v>
      </c>
      <c r="F37" s="19">
        <f t="shared" si="1"/>
        <v>7.5291415000000002E-3</v>
      </c>
      <c r="G37" s="20">
        <f t="shared" si="8"/>
        <v>93644.561859874681</v>
      </c>
      <c r="H37" s="20">
        <f t="shared" si="9"/>
        <v>84896.755289116554</v>
      </c>
      <c r="I37" s="20">
        <f t="shared" si="2"/>
        <v>55754.687863246647</v>
      </c>
      <c r="J37" s="20">
        <f t="shared" si="3"/>
        <v>50546.363800921536</v>
      </c>
      <c r="K37" s="20">
        <f t="shared" si="4"/>
        <v>414.63400374752587</v>
      </c>
      <c r="L37" s="21">
        <f t="shared" si="5"/>
        <v>1</v>
      </c>
      <c r="M37" s="20">
        <f>SUM(I37:$I$87)</f>
        <v>972307.10098575207</v>
      </c>
      <c r="N37" s="20">
        <f>SUM(J37:$J$87)</f>
        <v>722457.15373595979</v>
      </c>
      <c r="O37" s="22">
        <f>IF(I37&lt;=0,0,(IF(A37&lt;$B$4,SUMPRODUCT(L37:$L$86,K37:$K$86),0)+베타후*(INDEX($M$16:$M$87,MAX(A37,$B$5)+1)-$M$87)-IF(A37&lt;=$B$5,$E$13*(N37-INDEX($N$16:$N$87,$B$5+1)),0))/I37)</f>
        <v>0.59923595849696476</v>
      </c>
      <c r="P37" s="6">
        <f t="shared" si="6"/>
        <v>59924</v>
      </c>
      <c r="Q37" s="7">
        <v>59924</v>
      </c>
      <c r="R37" s="6">
        <f t="shared" si="7"/>
        <v>0</v>
      </c>
    </row>
    <row r="38" spans="1:18" x14ac:dyDescent="0.45">
      <c r="A38">
        <v>22</v>
      </c>
      <c r="B38">
        <f t="shared" si="0"/>
        <v>62</v>
      </c>
      <c r="C38" s="19">
        <f>INDEX(위험률!$B:$B,B38+2)</f>
        <v>7.7200000000000003E-3</v>
      </c>
      <c r="D38" s="19">
        <f>INDEX(위험률!$C:$C,B38+2)</f>
        <v>5.44E-4</v>
      </c>
      <c r="E38" s="19">
        <f>INDEX(위험률!$D:$D,B38+2)</f>
        <v>1.057E-2</v>
      </c>
      <c r="F38" s="19">
        <f t="shared" si="1"/>
        <v>8.2619001600000002E-3</v>
      </c>
      <c r="G38" s="20">
        <f t="shared" si="8"/>
        <v>92939.498702926183</v>
      </c>
      <c r="H38" s="20">
        <f t="shared" si="9"/>
        <v>83435.127346083565</v>
      </c>
      <c r="I38" s="20">
        <f t="shared" si="2"/>
        <v>53985.271150278961</v>
      </c>
      <c r="J38" s="20">
        <f t="shared" si="3"/>
        <v>48464.517628117574</v>
      </c>
      <c r="K38" s="20">
        <f t="shared" si="4"/>
        <v>440.5480637586669</v>
      </c>
      <c r="L38" s="21">
        <f t="shared" si="5"/>
        <v>1</v>
      </c>
      <c r="M38" s="20">
        <f>SUM(I38:$I$87)</f>
        <v>916552.41312250542</v>
      </c>
      <c r="N38" s="20">
        <f>SUM(J38:$J$87)</f>
        <v>671910.78993503819</v>
      </c>
      <c r="O38" s="22">
        <f>IF(I38&lt;=0,0,(IF(A38&lt;$B$4,SUMPRODUCT(L38:$L$86,K38:$K$86),0)+베타후*(INDEX($M$16:$M$87,MAX(A38,$B$5)+1)-$M$87)-IF(A38&lt;=$B$5,$E$13*(N38-INDEX($N$16:$N$87,$B$5+1)),0))/I38)</f>
        <v>0.61016318764290789</v>
      </c>
      <c r="P38" s="6">
        <f t="shared" si="6"/>
        <v>61016</v>
      </c>
      <c r="Q38" s="7">
        <v>61016</v>
      </c>
      <c r="R38" s="6">
        <f t="shared" si="7"/>
        <v>0</v>
      </c>
    </row>
    <row r="39" spans="1:18" x14ac:dyDescent="0.45">
      <c r="A39">
        <v>23</v>
      </c>
      <c r="B39">
        <f t="shared" si="0"/>
        <v>63</v>
      </c>
      <c r="C39" s="19">
        <f>INDEX(위험률!$B:$B,B39+2)</f>
        <v>8.4799999999999997E-3</v>
      </c>
      <c r="D39" s="19">
        <f>INDEX(위험률!$C:$C,B39+2)</f>
        <v>5.62E-4</v>
      </c>
      <c r="E39" s="19">
        <f>INDEX(위험률!$D:$D,B39+2)</f>
        <v>1.1464999999999999E-2</v>
      </c>
      <c r="F39" s="19">
        <f t="shared" si="1"/>
        <v>9.0396171199999993E-3</v>
      </c>
      <c r="G39" s="20">
        <f t="shared" si="8"/>
        <v>92171.641843722158</v>
      </c>
      <c r="H39" s="20">
        <f t="shared" si="9"/>
        <v>81867.528481342306</v>
      </c>
      <c r="I39" s="20">
        <f t="shared" si="2"/>
        <v>52233.414858463257</v>
      </c>
      <c r="J39" s="20">
        <f t="shared" si="3"/>
        <v>46394.102275549994</v>
      </c>
      <c r="K39" s="20">
        <f t="shared" si="4"/>
        <v>466.37635396712602</v>
      </c>
      <c r="L39" s="21">
        <f t="shared" si="5"/>
        <v>1</v>
      </c>
      <c r="M39" s="20">
        <f>SUM(I39:$I$87)</f>
        <v>862567.14197222644</v>
      </c>
      <c r="N39" s="20">
        <f>SUM(J39:$J$87)</f>
        <v>623446.27230692049</v>
      </c>
      <c r="O39" s="22">
        <f>IF(I39&lt;=0,0,(IF(A39&lt;$B$4,SUMPRODUCT(L39:$L$86,K39:$K$86),0)+베타후*(INDEX($M$16:$M$87,MAX(A39,$B$5)+1)-$M$87)-IF(A39&lt;=$B$5,$E$13*(N39-INDEX($N$16:$N$87,$B$5+1)),0))/I39)</f>
        <v>0.62115969028310514</v>
      </c>
      <c r="P39" s="6">
        <f t="shared" si="6"/>
        <v>62116</v>
      </c>
      <c r="Q39" s="7">
        <v>62116</v>
      </c>
      <c r="R39" s="6">
        <f t="shared" si="7"/>
        <v>0</v>
      </c>
    </row>
    <row r="40" spans="1:18" x14ac:dyDescent="0.45">
      <c r="A40">
        <v>24</v>
      </c>
      <c r="B40">
        <f t="shared" si="0"/>
        <v>64</v>
      </c>
      <c r="C40" s="19">
        <f>INDEX(위험률!$B:$B,B40+2)</f>
        <v>9.2800000000000001E-3</v>
      </c>
      <c r="D40" s="19">
        <f>INDEX(위험률!$C:$C,B40+2)</f>
        <v>5.9000000000000003E-4</v>
      </c>
      <c r="E40" s="19">
        <f>INDEX(위험률!$D:$D,B40+2)</f>
        <v>1.2409E-2</v>
      </c>
      <c r="F40" s="19">
        <f t="shared" si="1"/>
        <v>9.8672624E-3</v>
      </c>
      <c r="G40" s="20">
        <f t="shared" si="8"/>
        <v>91338.445492133134</v>
      </c>
      <c r="H40" s="20">
        <f t="shared" si="9"/>
        <v>80193.108498271424</v>
      </c>
      <c r="I40" s="20">
        <f t="shared" si="2"/>
        <v>50498.775402217194</v>
      </c>
      <c r="J40" s="20">
        <f t="shared" si="3"/>
        <v>44336.793264219006</v>
      </c>
      <c r="K40" s="20">
        <f t="shared" si="4"/>
        <v>492.17051391545107</v>
      </c>
      <c r="L40" s="21">
        <f t="shared" si="5"/>
        <v>1</v>
      </c>
      <c r="M40" s="20">
        <f>SUM(I40:$I$87)</f>
        <v>810333.72711376299</v>
      </c>
      <c r="N40" s="20">
        <f>SUM(J40:$J$87)</f>
        <v>577052.17003137071</v>
      </c>
      <c r="O40" s="22">
        <f>IF(I40&lt;=0,0,(IF(A40&lt;$B$4,SUMPRODUCT(L40:$L$86,K40:$K$86),0)+베타후*(INDEX($M$16:$M$87,MAX(A40,$B$5)+1)-$M$87)-IF(A40&lt;=$B$5,$E$13*(N40-INDEX($N$16:$N$87,$B$5+1)),0))/I40)</f>
        <v>0.63222685644936694</v>
      </c>
      <c r="P40" s="6">
        <f t="shared" si="6"/>
        <v>63223</v>
      </c>
      <c r="Q40" s="7">
        <v>63223</v>
      </c>
      <c r="R40" s="6">
        <f t="shared" si="7"/>
        <v>0</v>
      </c>
    </row>
    <row r="41" spans="1:18" x14ac:dyDescent="0.45">
      <c r="A41">
        <v>25</v>
      </c>
      <c r="B41">
        <f t="shared" si="0"/>
        <v>65</v>
      </c>
      <c r="C41" s="19">
        <f>INDEX(위험률!$B:$B,B41+2)</f>
        <v>1.0149999999999999E-2</v>
      </c>
      <c r="D41" s="19">
        <f>INDEX(위험률!$C:$C,B41+2)</f>
        <v>6.29E-4</v>
      </c>
      <c r="E41" s="19">
        <f>INDEX(위험률!$D:$D,B41+2)</f>
        <v>1.3401E-2</v>
      </c>
      <c r="F41" s="19">
        <f t="shared" si="1"/>
        <v>1.0775807824999999E-2</v>
      </c>
      <c r="G41" s="20">
        <f t="shared" si="8"/>
        <v>90437.185083254153</v>
      </c>
      <c r="H41" s="20">
        <f t="shared" si="9"/>
        <v>78411.615307435437</v>
      </c>
      <c r="I41" s="20">
        <f t="shared" si="2"/>
        <v>48780.966570190096</v>
      </c>
      <c r="J41" s="20">
        <f t="shared" si="3"/>
        <v>42294.487400347796</v>
      </c>
      <c r="K41" s="20">
        <f t="shared" si="4"/>
        <v>519.20433073314939</v>
      </c>
      <c r="L41" s="21">
        <f t="shared" si="5"/>
        <v>1</v>
      </c>
      <c r="M41" s="20">
        <f>SUM(I41:$I$87)</f>
        <v>759834.95171154605</v>
      </c>
      <c r="N41" s="20">
        <f>SUM(J41:$J$87)</f>
        <v>532715.37676715176</v>
      </c>
      <c r="O41" s="22">
        <f>IF(I41&lt;=0,0,(IF(A41&lt;$B$4,SUMPRODUCT(L41:$L$86,K41:$K$86),0)+베타후*(INDEX($M$16:$M$87,MAX(A41,$B$5)+1)-$M$87)-IF(A41&lt;=$B$5,$E$13*(N41-INDEX($N$16:$N$87,$B$5+1)),0))/I41)</f>
        <v>0.64336594668764513</v>
      </c>
      <c r="P41" s="6">
        <f t="shared" si="6"/>
        <v>64337</v>
      </c>
      <c r="Q41" s="7">
        <v>64337</v>
      </c>
      <c r="R41" s="6">
        <f t="shared" si="7"/>
        <v>0</v>
      </c>
    </row>
    <row r="42" spans="1:18" x14ac:dyDescent="0.45">
      <c r="A42">
        <v>26</v>
      </c>
      <c r="B42">
        <f t="shared" si="0"/>
        <v>66</v>
      </c>
      <c r="C42" s="19">
        <f>INDEX(위험률!$B:$B,B42+2)</f>
        <v>1.116E-2</v>
      </c>
      <c r="D42" s="19">
        <f>INDEX(위험률!$C:$C,B42+2)</f>
        <v>6.8099999999999996E-4</v>
      </c>
      <c r="E42" s="19">
        <f>INDEX(위험률!$D:$D,B42+2)</f>
        <v>1.4453000000000001E-2</v>
      </c>
      <c r="F42" s="19">
        <f t="shared" si="1"/>
        <v>1.1837200019999999E-2</v>
      </c>
      <c r="G42" s="20">
        <f t="shared" si="8"/>
        <v>89462.651356563045</v>
      </c>
      <c r="H42" s="20">
        <f t="shared" si="9"/>
        <v>76521.534330309252</v>
      </c>
      <c r="I42" s="20">
        <f t="shared" si="2"/>
        <v>47078.353413572659</v>
      </c>
      <c r="J42" s="20">
        <f t="shared" si="3"/>
        <v>40268.28830047691</v>
      </c>
      <c r="K42" s="20">
        <f t="shared" si="4"/>
        <v>550.43788607041643</v>
      </c>
      <c r="L42" s="21">
        <f t="shared" si="5"/>
        <v>1</v>
      </c>
      <c r="M42" s="20">
        <f>SUM(I42:$I$87)</f>
        <v>711053.98514135578</v>
      </c>
      <c r="N42" s="20">
        <f>SUM(J42:$J$87)</f>
        <v>490420.88936680381</v>
      </c>
      <c r="O42" s="22">
        <f>IF(I42&lt;=0,0,(IF(A42&lt;$B$4,SUMPRODUCT(L42:$L$86,K42:$K$86),0)+베타후*(INDEX($M$16:$M$87,MAX(A42,$B$5)+1)-$M$87)-IF(A42&lt;=$B$5,$E$13*(N42-INDEX($N$16:$N$87,$B$5+1)),0))/I42)</f>
        <v>0.65456893043292252</v>
      </c>
      <c r="P42" s="6">
        <f t="shared" si="6"/>
        <v>65457</v>
      </c>
      <c r="Q42" s="7">
        <v>65457</v>
      </c>
      <c r="R42" s="6">
        <f t="shared" si="7"/>
        <v>0</v>
      </c>
    </row>
    <row r="43" spans="1:18" x14ac:dyDescent="0.45">
      <c r="A43">
        <v>27</v>
      </c>
      <c r="B43">
        <f t="shared" si="0"/>
        <v>67</v>
      </c>
      <c r="C43" s="19">
        <f>INDEX(위험률!$B:$B,B43+2)</f>
        <v>1.24E-2</v>
      </c>
      <c r="D43" s="19">
        <f>INDEX(위험률!$C:$C,B43+2)</f>
        <v>7.3999999999999999E-4</v>
      </c>
      <c r="E43" s="19">
        <f>INDEX(위험률!$D:$D,B43+2)</f>
        <v>1.5585E-2</v>
      </c>
      <c r="F43" s="19">
        <f t="shared" si="1"/>
        <v>1.3135411999999999E-2</v>
      </c>
      <c r="G43" s="20">
        <f t="shared" si="8"/>
        <v>88403.664058135881</v>
      </c>
      <c r="H43" s="20">
        <f t="shared" si="9"/>
        <v>74516.313655742357</v>
      </c>
      <c r="I43" s="20">
        <f t="shared" si="2"/>
        <v>45386.417100101426</v>
      </c>
      <c r="J43" s="20">
        <f t="shared" si="3"/>
        <v>38256.655177973415</v>
      </c>
      <c r="K43" s="20">
        <f t="shared" si="4"/>
        <v>588.85405018707695</v>
      </c>
      <c r="L43" s="21">
        <f t="shared" si="5"/>
        <v>1</v>
      </c>
      <c r="M43" s="20">
        <f>SUM(I43:$I$87)</f>
        <v>663975.63172778313</v>
      </c>
      <c r="N43" s="20">
        <f>SUM(J43:$J$87)</f>
        <v>450152.6010663269</v>
      </c>
      <c r="O43" s="22">
        <f>IF(I43&lt;=0,0,(IF(A43&lt;$B$4,SUMPRODUCT(L43:$L$86,K43:$K$86),0)+베타후*(INDEX($M$16:$M$87,MAX(A43,$B$5)+1)-$M$87)-IF(A43&lt;=$B$5,$E$13*(N43-INDEX($N$16:$N$87,$B$5+1)),0))/I43)</f>
        <v>0.66580517105664794</v>
      </c>
      <c r="P43" s="6">
        <f t="shared" si="6"/>
        <v>66581</v>
      </c>
      <c r="Q43" s="7">
        <v>66581</v>
      </c>
      <c r="R43" s="6">
        <f t="shared" si="7"/>
        <v>0</v>
      </c>
    </row>
    <row r="44" spans="1:18" x14ac:dyDescent="0.45">
      <c r="A44">
        <v>28</v>
      </c>
      <c r="B44">
        <f t="shared" si="0"/>
        <v>68</v>
      </c>
      <c r="C44" s="19">
        <f>INDEX(위험률!$B:$B,B44+2)</f>
        <v>1.391E-2</v>
      </c>
      <c r="D44" s="19">
        <f>INDEX(위험률!$C:$C,B44+2)</f>
        <v>8.0500000000000005E-4</v>
      </c>
      <c r="E44" s="19">
        <f>INDEX(위험률!$D:$D,B44+2)</f>
        <v>1.6808E-2</v>
      </c>
      <c r="F44" s="19">
        <f t="shared" si="1"/>
        <v>1.4709401225E-2</v>
      </c>
      <c r="G44" s="20">
        <f t="shared" si="8"/>
        <v>87242.445508422679</v>
      </c>
      <c r="H44" s="20">
        <f t="shared" si="9"/>
        <v>72383.801745158213</v>
      </c>
      <c r="I44" s="20">
        <f t="shared" si="2"/>
        <v>43697.802743695371</v>
      </c>
      <c r="J44" s="20">
        <f t="shared" si="3"/>
        <v>36255.438187978216</v>
      </c>
      <c r="K44" s="20">
        <f t="shared" si="4"/>
        <v>634.88148428991656</v>
      </c>
      <c r="L44" s="21">
        <f t="shared" si="5"/>
        <v>1</v>
      </c>
      <c r="M44" s="20">
        <f>SUM(I44:$I$87)</f>
        <v>618589.21462768165</v>
      </c>
      <c r="N44" s="20">
        <f>SUM(J44:$J$87)</f>
        <v>411895.94588835351</v>
      </c>
      <c r="O44" s="22">
        <f>IF(I44&lt;=0,0,(IF(A44&lt;$B$4,SUMPRODUCT(L44:$L$86,K44:$K$86),0)+베타후*(INDEX($M$16:$M$87,MAX(A44,$B$5)+1)-$M$87)-IF(A44&lt;=$B$5,$E$13*(N44-INDEX($N$16:$N$87,$B$5+1)),0))/I44)</f>
        <v>0.6770196411754954</v>
      </c>
      <c r="P44" s="6">
        <f t="shared" si="6"/>
        <v>67702</v>
      </c>
      <c r="Q44" s="7">
        <v>67702</v>
      </c>
      <c r="R44" s="6">
        <f t="shared" si="7"/>
        <v>0</v>
      </c>
    </row>
    <row r="45" spans="1:18" x14ac:dyDescent="0.45">
      <c r="A45">
        <v>29</v>
      </c>
      <c r="B45">
        <f t="shared" si="0"/>
        <v>69</v>
      </c>
      <c r="C45" s="19">
        <f>INDEX(위험률!$B:$B,B45+2)</f>
        <v>1.5650000000000001E-2</v>
      </c>
      <c r="D45" s="19">
        <f>INDEX(위험률!$C:$C,B45+2)</f>
        <v>8.7000000000000001E-4</v>
      </c>
      <c r="E45" s="19">
        <f>INDEX(위험률!$D:$D,B45+2)</f>
        <v>1.8114999999999999E-2</v>
      </c>
      <c r="F45" s="19">
        <f t="shared" si="1"/>
        <v>1.6513192249999999E-2</v>
      </c>
      <c r="G45" s="20">
        <f t="shared" si="8"/>
        <v>85959.161373589086</v>
      </c>
      <c r="H45" s="20">
        <f t="shared" si="9"/>
        <v>70111.400350264041</v>
      </c>
      <c r="I45" s="20">
        <f t="shared" si="2"/>
        <v>42004.911444377991</v>
      </c>
      <c r="J45" s="20">
        <f t="shared" si="3"/>
        <v>34260.724696402518</v>
      </c>
      <c r="K45" s="20">
        <f t="shared" si="4"/>
        <v>685.12399471160904</v>
      </c>
      <c r="L45" s="21">
        <f t="shared" si="5"/>
        <v>1</v>
      </c>
      <c r="M45" s="20">
        <f>SUM(I45:$I$87)</f>
        <v>574891.41188398644</v>
      </c>
      <c r="N45" s="20">
        <f>SUM(J45:$J$87)</f>
        <v>375640.50770037534</v>
      </c>
      <c r="O45" s="22">
        <f>IF(I45&lt;=0,0,(IF(A45&lt;$B$4,SUMPRODUCT(L45:$L$86,K45:$K$86),0)+베타후*(INDEX($M$16:$M$87,MAX(A45,$B$5)+1)-$M$87)-IF(A45&lt;=$B$5,$E$13*(N45-INDEX($N$16:$N$87,$B$5+1)),0))/I45)</f>
        <v>0.68815027702026954</v>
      </c>
      <c r="P45" s="6">
        <f t="shared" si="6"/>
        <v>68815</v>
      </c>
      <c r="Q45" s="7">
        <v>68815</v>
      </c>
      <c r="R45" s="6">
        <f t="shared" si="7"/>
        <v>0</v>
      </c>
    </row>
    <row r="46" spans="1:18" x14ac:dyDescent="0.45">
      <c r="A46">
        <v>30</v>
      </c>
      <c r="B46">
        <f t="shared" si="0"/>
        <v>70</v>
      </c>
      <c r="C46" s="19">
        <f>INDEX(위험률!$B:$B,B46+2)</f>
        <v>1.7510000000000001E-2</v>
      </c>
      <c r="D46" s="19">
        <f>INDEX(위험률!$C:$C,B46+2)</f>
        <v>1.0480000000000001E-3</v>
      </c>
      <c r="E46" s="19">
        <f>INDEX(위험률!$D:$D,B46+2)</f>
        <v>1.9476E-2</v>
      </c>
      <c r="F46" s="19">
        <f t="shared" si="1"/>
        <v>1.8548824760000002E-2</v>
      </c>
      <c r="G46" s="20">
        <f t="shared" si="8"/>
        <v>84539.701216178233</v>
      </c>
      <c r="H46" s="20">
        <f t="shared" si="9"/>
        <v>67694.055738688883</v>
      </c>
      <c r="I46" s="20">
        <f t="shared" si="2"/>
        <v>40303.684162197816</v>
      </c>
      <c r="J46" s="20">
        <f t="shared" si="3"/>
        <v>32272.645903652861</v>
      </c>
      <c r="K46" s="20">
        <f t="shared" si="4"/>
        <v>738.41279325823075</v>
      </c>
      <c r="L46" s="21">
        <f t="shared" si="5"/>
        <v>1</v>
      </c>
      <c r="M46" s="20">
        <f>SUM(I46:$I$87)</f>
        <v>532886.50043960835</v>
      </c>
      <c r="N46" s="20">
        <f>SUM(J46:$J$87)</f>
        <v>341379.78300397284</v>
      </c>
      <c r="O46" s="22">
        <f>IF(I46&lt;=0,0,(IF(A46&lt;$B$4,SUMPRODUCT(L46:$L$86,K46:$K$86),0)+베타후*(INDEX($M$16:$M$87,MAX(A46,$B$5)+1)-$M$87)-IF(A46&lt;=$B$5,$E$13*(N46-INDEX($N$16:$N$87,$B$5+1)),0))/I46)</f>
        <v>0.69915599842195664</v>
      </c>
      <c r="P46" s="6">
        <f t="shared" si="6"/>
        <v>69916</v>
      </c>
      <c r="Q46" s="7">
        <v>69916</v>
      </c>
      <c r="R46" s="6">
        <f t="shared" si="7"/>
        <v>0</v>
      </c>
    </row>
    <row r="47" spans="1:18" x14ac:dyDescent="0.45">
      <c r="A47">
        <v>31</v>
      </c>
      <c r="B47">
        <f t="shared" si="0"/>
        <v>71</v>
      </c>
      <c r="C47" s="19">
        <f>INDEX(위험률!$B:$B,B47+2)</f>
        <v>1.9369999999999998E-2</v>
      </c>
      <c r="D47" s="19">
        <f>INDEX(위험률!$C:$C,B47+2)</f>
        <v>1.111E-3</v>
      </c>
      <c r="E47" s="19">
        <f>INDEX(위험률!$D:$D,B47+2)</f>
        <v>2.0858999999999999E-2</v>
      </c>
      <c r="F47" s="19">
        <f t="shared" si="1"/>
        <v>2.0470239964999998E-2</v>
      </c>
      <c r="G47" s="20">
        <f t="shared" si="8"/>
        <v>82971.589113056587</v>
      </c>
      <c r="H47" s="20">
        <f t="shared" si="9"/>
        <v>65132.228604667049</v>
      </c>
      <c r="I47" s="20">
        <f t="shared" si="2"/>
        <v>38591.315304869102</v>
      </c>
      <c r="J47" s="20">
        <f t="shared" si="3"/>
        <v>30293.964445668124</v>
      </c>
      <c r="K47" s="20">
        <f t="shared" si="4"/>
        <v>780.28019156033997</v>
      </c>
      <c r="L47" s="21">
        <f t="shared" si="5"/>
        <v>1</v>
      </c>
      <c r="M47" s="20">
        <f>SUM(I47:$I$87)</f>
        <v>492582.81627741066</v>
      </c>
      <c r="N47" s="20">
        <f>SUM(J47:$J$87)</f>
        <v>309107.13710032002</v>
      </c>
      <c r="O47" s="22">
        <f>IF(I47&lt;=0,0,(IF(A47&lt;$B$4,SUMPRODUCT(L47:$L$86,K47:$K$86),0)+베타후*(INDEX($M$16:$M$87,MAX(A47,$B$5)+1)-$M$87)-IF(A47&lt;=$B$5,$E$13*(N47-INDEX($N$16:$N$87,$B$5+1)),0))/I47)</f>
        <v>0.71000031604590397</v>
      </c>
      <c r="P47" s="6">
        <f t="shared" si="6"/>
        <v>71000</v>
      </c>
      <c r="Q47" s="7">
        <v>71000</v>
      </c>
      <c r="R47" s="6">
        <f t="shared" si="7"/>
        <v>0</v>
      </c>
    </row>
    <row r="48" spans="1:18" x14ac:dyDescent="0.45">
      <c r="A48">
        <v>32</v>
      </c>
      <c r="B48">
        <f t="shared" ref="B48:B79" si="10">가입나이+A48</f>
        <v>72</v>
      </c>
      <c r="C48" s="19">
        <f>INDEX(위험률!$B:$B,B48+2)</f>
        <v>2.111E-2</v>
      </c>
      <c r="D48" s="19">
        <f>INDEX(위험률!$C:$C,B48+2)</f>
        <v>1.175E-3</v>
      </c>
      <c r="E48" s="19">
        <f>INDEX(위험률!$D:$D,B48+2)</f>
        <v>2.2248E-2</v>
      </c>
      <c r="F48" s="19">
        <f t="shared" ref="F48:F79" si="11">MIN(1,C48+D48-C48*D48/2)</f>
        <v>2.2272597874999998E-2</v>
      </c>
      <c r="G48" s="20">
        <f t="shared" si="8"/>
        <v>81273.140773634936</v>
      </c>
      <c r="H48" s="20">
        <f t="shared" si="9"/>
        <v>62454.268463173357</v>
      </c>
      <c r="I48" s="20">
        <f t="shared" ref="I48:I79" si="12">G48*현가율^A48</f>
        <v>36879.35787318385</v>
      </c>
      <c r="J48" s="20">
        <f t="shared" ref="J48:J79" si="13">H48*현가율^A48</f>
        <v>28339.907815011546</v>
      </c>
      <c r="K48" s="20">
        <f t="shared" ref="K48:K79" si="14">G48*F48*현가율^(A48+0.5)</f>
        <v>811.32020943329542</v>
      </c>
      <c r="L48" s="21">
        <f t="shared" ref="L48:L79" si="15">IF(A48=0,$B$7,1)</f>
        <v>1</v>
      </c>
      <c r="M48" s="20">
        <f>SUM(I48:$I$87)</f>
        <v>453991.50097254157</v>
      </c>
      <c r="N48" s="20">
        <f>SUM(J48:$J$87)</f>
        <v>278813.17265465175</v>
      </c>
      <c r="O48" s="22">
        <f>IF(I48&lt;=0,0,(IF(A48&lt;$B$4,SUMPRODUCT(L48:$L$86,K48:$K$86),0)+베타후*(INDEX($M$16:$M$87,MAX(A48,$B$5)+1)-$M$87)-IF(A48&lt;=$B$5,$E$13*(N48-INDEX($N$16:$N$87,$B$5+1)),0))/I48)</f>
        <v>0.72075480944170267</v>
      </c>
      <c r="P48" s="6">
        <f t="shared" ref="P48:P79" si="16">ROUND(O48*100000,0)</f>
        <v>72075</v>
      </c>
      <c r="Q48" s="7">
        <v>72075</v>
      </c>
      <c r="R48" s="6">
        <f t="shared" ref="R48:R79" si="17">P48-Q48</f>
        <v>0</v>
      </c>
    </row>
    <row r="49" spans="1:18" x14ac:dyDescent="0.45">
      <c r="A49">
        <v>33</v>
      </c>
      <c r="B49">
        <f t="shared" si="10"/>
        <v>73</v>
      </c>
      <c r="C49" s="19">
        <f>INDEX(위험률!$B:$B,B49+2)</f>
        <v>2.265E-2</v>
      </c>
      <c r="D49" s="19">
        <f>INDEX(위험률!$C:$C,B49+2)</f>
        <v>1.237E-3</v>
      </c>
      <c r="E49" s="19">
        <f>INDEX(위험률!$D:$D,B49+2)</f>
        <v>2.3633000000000001E-2</v>
      </c>
      <c r="F49" s="19">
        <f t="shared" si="11"/>
        <v>2.3872990974999998E-2</v>
      </c>
      <c r="G49" s="20">
        <f t="shared" ref="G49:G80" si="18">G48*MAX(0,1-F48)</f>
        <v>79462.976791145498</v>
      </c>
      <c r="H49" s="20">
        <f t="shared" ref="H49:H80" si="19">H48*MAX(0,1-F48-E48+F48*E48/2)</f>
        <v>59689.240784556823</v>
      </c>
      <c r="I49" s="20">
        <f t="shared" si="12"/>
        <v>35178.496356474359</v>
      </c>
      <c r="J49" s="20">
        <f t="shared" si="13"/>
        <v>26424.60456747235</v>
      </c>
      <c r="K49" s="20">
        <f t="shared" si="14"/>
        <v>829.51104587966995</v>
      </c>
      <c r="L49" s="21">
        <f t="shared" si="15"/>
        <v>1</v>
      </c>
      <c r="M49" s="20">
        <f>SUM(I49:$I$87)</f>
        <v>417112.14309935772</v>
      </c>
      <c r="N49" s="20">
        <f>SUM(J49:$J$87)</f>
        <v>250473.26483964027</v>
      </c>
      <c r="O49" s="22">
        <f>IF(I49&lt;=0,0,(IF(A49&lt;$B$4,SUMPRODUCT(L49:$L$86,K49:$K$86),0)+베타후*(INDEX($M$16:$M$87,MAX(A49,$B$5)+1)-$M$87)-IF(A49&lt;=$B$5,$E$13*(N49-INDEX($N$16:$N$87,$B$5+1)),0))/I49)</f>
        <v>0.73149161147066954</v>
      </c>
      <c r="P49" s="6">
        <f t="shared" si="16"/>
        <v>73149</v>
      </c>
      <c r="Q49" s="7">
        <v>73149</v>
      </c>
      <c r="R49" s="6">
        <f t="shared" si="17"/>
        <v>0</v>
      </c>
    </row>
    <row r="50" spans="1:18" x14ac:dyDescent="0.45">
      <c r="A50">
        <v>34</v>
      </c>
      <c r="B50">
        <f t="shared" si="10"/>
        <v>74</v>
      </c>
      <c r="C50" s="19">
        <f>INDEX(위험률!$B:$B,B50+2)</f>
        <v>2.402E-2</v>
      </c>
      <c r="D50" s="19">
        <f>INDEX(위험률!$C:$C,B50+2)</f>
        <v>1.294E-3</v>
      </c>
      <c r="E50" s="19">
        <f>INDEX(위험률!$D:$D,B50+2)</f>
        <v>2.5020000000000001E-2</v>
      </c>
      <c r="F50" s="19">
        <f t="shared" si="11"/>
        <v>2.529845906E-2</v>
      </c>
      <c r="G50" s="20">
        <f t="shared" si="18"/>
        <v>77565.957863363845</v>
      </c>
      <c r="H50" s="20">
        <f t="shared" si="19"/>
        <v>56870.482298730065</v>
      </c>
      <c r="I50" s="20">
        <f t="shared" si="12"/>
        <v>33501.151639455784</v>
      </c>
      <c r="J50" s="20">
        <f t="shared" si="13"/>
        <v>24562.665166269071</v>
      </c>
      <c r="K50" s="20">
        <f t="shared" si="14"/>
        <v>837.12800877592315</v>
      </c>
      <c r="L50" s="21">
        <f t="shared" si="15"/>
        <v>1</v>
      </c>
      <c r="M50" s="20">
        <f>SUM(I50:$I$87)</f>
        <v>381933.64674288337</v>
      </c>
      <c r="N50" s="20">
        <f>SUM(J50:$J$87)</f>
        <v>224048.66027216785</v>
      </c>
      <c r="O50" s="22">
        <f>IF(I50&lt;=0,0,(IF(A50&lt;$B$4,SUMPRODUCT(L50:$L$86,K50:$K$86),0)+베타후*(INDEX($M$16:$M$87,MAX(A50,$B$5)+1)-$M$87)-IF(A50&lt;=$B$5,$E$13*(N50-INDEX($N$16:$N$87,$B$5+1)),0))/I50)</f>
        <v>0.74230539040300081</v>
      </c>
      <c r="P50" s="6">
        <f t="shared" si="16"/>
        <v>74231</v>
      </c>
      <c r="Q50" s="7">
        <v>74231</v>
      </c>
      <c r="R50" s="6">
        <f t="shared" si="17"/>
        <v>0</v>
      </c>
    </row>
    <row r="51" spans="1:18" x14ac:dyDescent="0.45">
      <c r="A51">
        <v>35</v>
      </c>
      <c r="B51">
        <f t="shared" si="10"/>
        <v>75</v>
      </c>
      <c r="C51" s="19">
        <f>INDEX(위험률!$B:$B,B51+2)</f>
        <v>2.546E-2</v>
      </c>
      <c r="D51" s="19">
        <f>INDEX(위험률!$C:$C,B51+2)</f>
        <v>1.3470000000000001E-3</v>
      </c>
      <c r="E51" s="19">
        <f>INDEX(위험률!$D:$D,B51+2)</f>
        <v>2.6433999999999999E-2</v>
      </c>
      <c r="F51" s="19">
        <f t="shared" si="11"/>
        <v>2.6789852690000001E-2</v>
      </c>
      <c r="G51" s="20">
        <f t="shared" si="18"/>
        <v>75603.658653907842</v>
      </c>
      <c r="H51" s="20">
        <f t="shared" si="19"/>
        <v>54026.845845416603</v>
      </c>
      <c r="I51" s="20">
        <f t="shared" si="12"/>
        <v>31857.194269504544</v>
      </c>
      <c r="J51" s="20">
        <f t="shared" si="13"/>
        <v>22765.349647229643</v>
      </c>
      <c r="K51" s="20">
        <f t="shared" si="14"/>
        <v>842.97737148212468</v>
      </c>
      <c r="L51" s="21">
        <f t="shared" si="15"/>
        <v>1</v>
      </c>
      <c r="M51" s="20">
        <f>SUM(I51:$I$87)</f>
        <v>348432.49510342762</v>
      </c>
      <c r="N51" s="20">
        <f>SUM(J51:$J$87)</f>
        <v>199485.99510589879</v>
      </c>
      <c r="O51" s="22">
        <f>IF(I51&lt;=0,0,(IF(A51&lt;$B$4,SUMPRODUCT(L51:$L$86,K51:$K$86),0)+베타후*(INDEX($M$16:$M$87,MAX(A51,$B$5)+1)-$M$87)-IF(A51&lt;=$B$5,$E$13*(N51-INDEX($N$16:$N$87,$B$5+1)),0))/I51)</f>
        <v>0.75328216550547455</v>
      </c>
      <c r="P51" s="6">
        <f t="shared" si="16"/>
        <v>75328</v>
      </c>
      <c r="Q51" s="7">
        <v>75328</v>
      </c>
      <c r="R51" s="6">
        <f t="shared" si="17"/>
        <v>0</v>
      </c>
    </row>
    <row r="52" spans="1:18" x14ac:dyDescent="0.45">
      <c r="A52">
        <v>36</v>
      </c>
      <c r="B52">
        <f t="shared" si="10"/>
        <v>76</v>
      </c>
      <c r="C52" s="19">
        <f>INDEX(위험률!$B:$B,B52+2)</f>
        <v>2.7349999999999999E-2</v>
      </c>
      <c r="D52" s="19">
        <f>INDEX(위험률!$C:$C,B52+2)</f>
        <v>1.3929999999999999E-3</v>
      </c>
      <c r="E52" s="19">
        <f>INDEX(위험률!$D:$D,B52+2)</f>
        <v>2.792E-2</v>
      </c>
      <c r="F52" s="19">
        <f t="shared" si="11"/>
        <v>2.8723950724999999E-2</v>
      </c>
      <c r="G52" s="20">
        <f t="shared" si="18"/>
        <v>73578.247775744603</v>
      </c>
      <c r="H52" s="20">
        <f t="shared" si="19"/>
        <v>51170.458866533772</v>
      </c>
      <c r="I52" s="20">
        <f t="shared" si="12"/>
        <v>30247.555832105172</v>
      </c>
      <c r="J52" s="20">
        <f t="shared" si="13"/>
        <v>21035.854458471549</v>
      </c>
      <c r="K52" s="20">
        <f t="shared" si="14"/>
        <v>858.16841727925953</v>
      </c>
      <c r="L52" s="21">
        <f t="shared" si="15"/>
        <v>1</v>
      </c>
      <c r="M52" s="20">
        <f>SUM(I52:$I$87)</f>
        <v>316575.30083392299</v>
      </c>
      <c r="N52" s="20">
        <f>SUM(J52:$J$87)</f>
        <v>176720.64545866914</v>
      </c>
      <c r="O52" s="22">
        <f>IF(I52&lt;=0,0,(IF(A52&lt;$B$4,SUMPRODUCT(L52:$L$86,K52:$K$86),0)+베타후*(INDEX($M$16:$M$87,MAX(A52,$B$5)+1)-$M$87)-IF(A52&lt;=$B$5,$E$13*(N52-INDEX($N$16:$N$87,$B$5+1)),0))/I52)</f>
        <v>0.76444595552962602</v>
      </c>
      <c r="P52" s="6">
        <f t="shared" si="16"/>
        <v>76445</v>
      </c>
      <c r="Q52" s="7">
        <v>76445</v>
      </c>
      <c r="R52" s="6">
        <f t="shared" si="17"/>
        <v>0</v>
      </c>
    </row>
    <row r="53" spans="1:18" x14ac:dyDescent="0.45">
      <c r="A53">
        <v>37</v>
      </c>
      <c r="B53">
        <f t="shared" si="10"/>
        <v>77</v>
      </c>
      <c r="C53" s="19">
        <f>INDEX(위험률!$B:$B,B53+2)</f>
        <v>3.0009999999999998E-2</v>
      </c>
      <c r="D53" s="19">
        <f>INDEX(위험률!$C:$C,B53+2)</f>
        <v>1.4369999999999999E-3</v>
      </c>
      <c r="E53" s="19">
        <f>INDEX(위험률!$D:$D,B53+2)</f>
        <v>2.9519E-2</v>
      </c>
      <c r="F53" s="19">
        <f t="shared" si="11"/>
        <v>3.1425437814999999E-2</v>
      </c>
      <c r="G53" s="20">
        <f t="shared" si="18"/>
        <v>71464.789812202274</v>
      </c>
      <c r="H53" s="20">
        <f t="shared" si="19"/>
        <v>48292.480571559441</v>
      </c>
      <c r="I53" s="20">
        <f t="shared" si="12"/>
        <v>28662.172223250833</v>
      </c>
      <c r="J53" s="20">
        <f t="shared" si="13"/>
        <v>19368.52258108358</v>
      </c>
      <c r="K53" s="20">
        <f t="shared" si="14"/>
        <v>889.66909705421654</v>
      </c>
      <c r="L53" s="21">
        <f t="shared" si="15"/>
        <v>1</v>
      </c>
      <c r="M53" s="20">
        <f>SUM(I53:$I$87)</f>
        <v>286327.74500181782</v>
      </c>
      <c r="N53" s="20">
        <f>SUM(J53:$J$87)</f>
        <v>155684.79100019761</v>
      </c>
      <c r="O53" s="22">
        <f>IF(I53&lt;=0,0,(IF(A53&lt;$B$4,SUMPRODUCT(L53:$L$86,K53:$K$86),0)+베타후*(INDEX($M$16:$M$87,MAX(A53,$B$5)+1)-$M$87)-IF(A53&lt;=$B$5,$E$13*(N53-INDEX($N$16:$N$87,$B$5+1)),0))/I53)</f>
        <v>0.77573345014518946</v>
      </c>
      <c r="P53" s="6">
        <f t="shared" si="16"/>
        <v>77573</v>
      </c>
      <c r="Q53" s="7">
        <v>77573</v>
      </c>
      <c r="R53" s="6">
        <f t="shared" si="17"/>
        <v>0</v>
      </c>
    </row>
    <row r="54" spans="1:18" x14ac:dyDescent="0.45">
      <c r="A54">
        <v>38</v>
      </c>
      <c r="B54">
        <f t="shared" si="10"/>
        <v>78</v>
      </c>
      <c r="C54" s="19">
        <f>INDEX(위험률!$B:$B,B54+2)</f>
        <v>3.347E-2</v>
      </c>
      <c r="D54" s="19">
        <f>INDEX(위험률!$C:$C,B54+2)</f>
        <v>1.4779999999999999E-3</v>
      </c>
      <c r="E54" s="19">
        <f>INDEX(위험률!$D:$D,B54+2)</f>
        <v>3.1297999999999999E-2</v>
      </c>
      <c r="F54" s="19">
        <f t="shared" si="11"/>
        <v>3.4923265670000002E-2</v>
      </c>
      <c r="G54" s="20">
        <f t="shared" si="18"/>
        <v>69218.977503996866</v>
      </c>
      <c r="H54" s="20">
        <f t="shared" si="19"/>
        <v>45371.721691841951</v>
      </c>
      <c r="I54" s="20">
        <f t="shared" si="12"/>
        <v>27084.342353567066</v>
      </c>
      <c r="J54" s="20">
        <f t="shared" si="13"/>
        <v>17753.270674962732</v>
      </c>
      <c r="K54" s="20">
        <f t="shared" si="14"/>
        <v>934.26743189564002</v>
      </c>
      <c r="L54" s="21">
        <f t="shared" si="15"/>
        <v>1</v>
      </c>
      <c r="M54" s="20">
        <f>SUM(I54:$I$87)</f>
        <v>257665.57277856712</v>
      </c>
      <c r="N54" s="20">
        <f>SUM(J54:$J$87)</f>
        <v>136316.26841911406</v>
      </c>
      <c r="O54" s="22">
        <f>IF(I54&lt;=0,0,(IF(A54&lt;$B$4,SUMPRODUCT(L54:$L$86,K54:$K$86),0)+베타후*(INDEX($M$16:$M$87,MAX(A54,$B$5)+1)-$M$87)-IF(A54&lt;=$B$5,$E$13*(N54-INDEX($N$16:$N$87,$B$5+1)),0))/I54)</f>
        <v>0.7870183517789261</v>
      </c>
      <c r="P54" s="6">
        <f t="shared" si="16"/>
        <v>78702</v>
      </c>
      <c r="Q54" s="7">
        <v>78702</v>
      </c>
      <c r="R54" s="6">
        <f t="shared" si="17"/>
        <v>0</v>
      </c>
    </row>
    <row r="55" spans="1:18" x14ac:dyDescent="0.45">
      <c r="A55">
        <v>39</v>
      </c>
      <c r="B55">
        <f t="shared" si="10"/>
        <v>79</v>
      </c>
      <c r="C55" s="19">
        <f>INDEX(위험률!$B:$B,B55+2)</f>
        <v>3.7589999999999998E-2</v>
      </c>
      <c r="D55" s="19">
        <f>INDEX(위험률!$C:$C,B55+2)</f>
        <v>1.519E-3</v>
      </c>
      <c r="E55" s="19">
        <f>INDEX(위험률!$D:$D,B55+2)</f>
        <v>3.3236000000000002E-2</v>
      </c>
      <c r="F55" s="19">
        <f t="shared" si="11"/>
        <v>3.9080450395000001E-2</v>
      </c>
      <c r="G55" s="20">
        <f t="shared" si="18"/>
        <v>66801.624763219021</v>
      </c>
      <c r="H55" s="20">
        <f t="shared" si="19"/>
        <v>42391.945145259589</v>
      </c>
      <c r="I55" s="20">
        <f t="shared" si="12"/>
        <v>25500.945043957276</v>
      </c>
      <c r="J55" s="20">
        <f t="shared" si="13"/>
        <v>16182.760034467516</v>
      </c>
      <c r="K55" s="20">
        <f t="shared" si="14"/>
        <v>984.35987595504469</v>
      </c>
      <c r="L55" s="21">
        <f t="shared" si="15"/>
        <v>1</v>
      </c>
      <c r="M55" s="20">
        <f>SUM(I55:$I$87)</f>
        <v>230581.2304250001</v>
      </c>
      <c r="N55" s="20">
        <f>SUM(J55:$J$87)</f>
        <v>118562.99774415129</v>
      </c>
      <c r="O55" s="22">
        <f>IF(I55&lt;=0,0,(IF(A55&lt;$B$4,SUMPRODUCT(L55:$L$86,K55:$K$86),0)+베타후*(INDEX($M$16:$M$87,MAX(A55,$B$5)+1)-$M$87)-IF(A55&lt;=$B$5,$E$13*(N55-INDEX($N$16:$N$87,$B$5+1)),0))/I55)</f>
        <v>0.79818699537547289</v>
      </c>
      <c r="P55" s="6">
        <f t="shared" si="16"/>
        <v>79819</v>
      </c>
      <c r="Q55" s="7">
        <v>79819</v>
      </c>
      <c r="R55" s="6">
        <f t="shared" si="17"/>
        <v>0</v>
      </c>
    </row>
    <row r="56" spans="1:18" x14ac:dyDescent="0.45">
      <c r="A56">
        <v>40</v>
      </c>
      <c r="B56">
        <f t="shared" si="10"/>
        <v>80</v>
      </c>
      <c r="C56" s="19">
        <f>INDEX(위험률!$B:$B,B56+2)</f>
        <v>4.231E-2</v>
      </c>
      <c r="D56" s="19">
        <f>INDEX(위험률!$C:$C,B56+2)</f>
        <v>1.57E-3</v>
      </c>
      <c r="E56" s="19">
        <f>INDEX(위험률!$D:$D,B56+2)</f>
        <v>3.5185000000000001E-2</v>
      </c>
      <c r="F56" s="19">
        <f t="shared" si="11"/>
        <v>4.3846786650000004E-2</v>
      </c>
      <c r="G56" s="20">
        <f t="shared" si="18"/>
        <v>64190.987180354641</v>
      </c>
      <c r="H56" s="20">
        <f t="shared" si="19"/>
        <v>39353.841126284417</v>
      </c>
      <c r="I56" s="20">
        <f t="shared" si="12"/>
        <v>23906.689391357351</v>
      </c>
      <c r="J56" s="20">
        <f t="shared" si="13"/>
        <v>14656.575595566475</v>
      </c>
      <c r="K56" s="20">
        <f t="shared" si="14"/>
        <v>1035.3692858275501</v>
      </c>
      <c r="L56" s="21">
        <f t="shared" si="15"/>
        <v>1</v>
      </c>
      <c r="M56" s="20">
        <f>SUM(I56:$I$87)</f>
        <v>205080.28538104278</v>
      </c>
      <c r="N56" s="20">
        <f>SUM(J56:$J$87)</f>
        <v>102380.23770968377</v>
      </c>
      <c r="O56" s="22">
        <f>IF(I56&lt;=0,0,(IF(A56&lt;$B$4,SUMPRODUCT(L56:$L$86,K56:$K$86),0)+베타후*(INDEX($M$16:$M$87,MAX(A56,$B$5)+1)-$M$87)-IF(A56&lt;=$B$5,$E$13*(N56-INDEX($N$16:$N$87,$B$5+1)),0))/I56)</f>
        <v>0.8091735984935543</v>
      </c>
      <c r="P56" s="6">
        <f t="shared" si="16"/>
        <v>80917</v>
      </c>
      <c r="Q56" s="7">
        <v>80917</v>
      </c>
      <c r="R56" s="6">
        <f t="shared" si="17"/>
        <v>0</v>
      </c>
    </row>
    <row r="57" spans="1:18" x14ac:dyDescent="0.45">
      <c r="A57">
        <v>41</v>
      </c>
      <c r="B57">
        <f t="shared" si="10"/>
        <v>81</v>
      </c>
      <c r="C57" s="19">
        <f>INDEX(위험률!$B:$B,B57+2)</f>
        <v>4.7710000000000002E-2</v>
      </c>
      <c r="D57" s="19">
        <f>INDEX(위험률!$C:$C,B57+2)</f>
        <v>1.601E-3</v>
      </c>
      <c r="E57" s="19">
        <f>INDEX(위험률!$D:$D,B57+2)</f>
        <v>3.6922999999999997E-2</v>
      </c>
      <c r="F57" s="19">
        <f t="shared" si="11"/>
        <v>4.9272808144999999E-2</v>
      </c>
      <c r="G57" s="20">
        <f t="shared" si="18"/>
        <v>61376.418660604751</v>
      </c>
      <c r="H57" s="20">
        <f t="shared" si="19"/>
        <v>36273.993303760551</v>
      </c>
      <c r="I57" s="20">
        <f t="shared" si="12"/>
        <v>22300.934519128481</v>
      </c>
      <c r="J57" s="20">
        <f t="shared" si="13"/>
        <v>13180.044829394716</v>
      </c>
      <c r="K57" s="20">
        <f t="shared" si="14"/>
        <v>1085.3465847752823</v>
      </c>
      <c r="L57" s="21">
        <f t="shared" si="15"/>
        <v>1</v>
      </c>
      <c r="M57" s="20">
        <f>SUM(I57:$I$87)</f>
        <v>181173.59598968542</v>
      </c>
      <c r="N57" s="20">
        <f>SUM(J57:$J$87)</f>
        <v>87723.662114117295</v>
      </c>
      <c r="O57" s="22">
        <f>IF(I57&lt;=0,0,(IF(A57&lt;$B$4,SUMPRODUCT(L57:$L$86,K57:$K$86),0)+베타후*(INDEX($M$16:$M$87,MAX(A57,$B$5)+1)-$M$87)-IF(A57&lt;=$B$5,$E$13*(N57-INDEX($N$16:$N$87,$B$5+1)),0))/I57)</f>
        <v>0.81993810133692968</v>
      </c>
      <c r="P57" s="6">
        <f t="shared" si="16"/>
        <v>81994</v>
      </c>
      <c r="Q57" s="7">
        <v>81994</v>
      </c>
      <c r="R57" s="6">
        <f t="shared" si="17"/>
        <v>0</v>
      </c>
    </row>
    <row r="58" spans="1:18" x14ac:dyDescent="0.45">
      <c r="A58">
        <v>42</v>
      </c>
      <c r="B58">
        <f t="shared" si="10"/>
        <v>82</v>
      </c>
      <c r="C58" s="19">
        <f>INDEX(위험률!$B:$B,B58+2)</f>
        <v>5.3960000000000001E-2</v>
      </c>
      <c r="D58" s="19">
        <f>INDEX(위험률!$C:$C,B58+2)</f>
        <v>1.637E-3</v>
      </c>
      <c r="E58" s="19">
        <f>INDEX(위험률!$D:$D,B58+2)</f>
        <v>3.8261999999999997E-2</v>
      </c>
      <c r="F58" s="19">
        <f t="shared" si="11"/>
        <v>5.5552833740000002E-2</v>
      </c>
      <c r="G58" s="20">
        <f t="shared" si="18"/>
        <v>58352.230159313578</v>
      </c>
      <c r="H58" s="20">
        <f t="shared" si="19"/>
        <v>33180.32377240347</v>
      </c>
      <c r="I58" s="20">
        <f t="shared" si="12"/>
        <v>20684.980342549519</v>
      </c>
      <c r="J58" s="20">
        <f t="shared" si="13"/>
        <v>11761.921405878755</v>
      </c>
      <c r="K58" s="20">
        <f t="shared" si="14"/>
        <v>1135.0092396005587</v>
      </c>
      <c r="L58" s="21">
        <f t="shared" si="15"/>
        <v>1</v>
      </c>
      <c r="M58" s="20">
        <f>SUM(I58:$I$87)</f>
        <v>158872.66147055695</v>
      </c>
      <c r="N58" s="20">
        <f>SUM(J58:$J$87)</f>
        <v>74543.617284722568</v>
      </c>
      <c r="O58" s="22">
        <f>IF(I58&lt;=0,0,(IF(A58&lt;$B$4,SUMPRODUCT(L58:$L$86,K58:$K$86),0)+베타후*(INDEX($M$16:$M$87,MAX(A58,$B$5)+1)-$M$87)-IF(A58&lt;=$B$5,$E$13*(N58-INDEX($N$16:$N$87,$B$5+1)),0))/I58)</f>
        <v>0.83044499457531262</v>
      </c>
      <c r="P58" s="6">
        <f t="shared" si="16"/>
        <v>83044</v>
      </c>
      <c r="Q58" s="7">
        <v>83044</v>
      </c>
      <c r="R58" s="6">
        <f t="shared" si="17"/>
        <v>0</v>
      </c>
    </row>
    <row r="59" spans="1:18" x14ac:dyDescent="0.45">
      <c r="A59">
        <v>43</v>
      </c>
      <c r="B59">
        <f t="shared" si="10"/>
        <v>83</v>
      </c>
      <c r="C59" s="19">
        <f>INDEX(위험률!$B:$B,B59+2)</f>
        <v>6.1100000000000002E-2</v>
      </c>
      <c r="D59" s="19">
        <f>INDEX(위험률!$C:$C,B59+2)</f>
        <v>1.6969999999999999E-3</v>
      </c>
      <c r="E59" s="19">
        <f>INDEX(위험률!$D:$D,B59+2)</f>
        <v>3.9146E-2</v>
      </c>
      <c r="F59" s="19">
        <f t="shared" si="11"/>
        <v>6.2745156650000009E-2</v>
      </c>
      <c r="G59" s="20">
        <f t="shared" si="18"/>
        <v>55110.598418915019</v>
      </c>
      <c r="H59" s="20">
        <f t="shared" si="19"/>
        <v>30102.780640637764</v>
      </c>
      <c r="I59" s="20">
        <f t="shared" si="12"/>
        <v>19059.386408453363</v>
      </c>
      <c r="J59" s="20">
        <f t="shared" si="13"/>
        <v>10410.711272587192</v>
      </c>
      <c r="K59" s="20">
        <f t="shared" si="14"/>
        <v>1181.2102045305162</v>
      </c>
      <c r="L59" s="21">
        <f t="shared" si="15"/>
        <v>1</v>
      </c>
      <c r="M59" s="20">
        <f>SUM(I59:$I$87)</f>
        <v>138187.68112800739</v>
      </c>
      <c r="N59" s="20">
        <f>SUM(J59:$J$87)</f>
        <v>62781.695878843835</v>
      </c>
      <c r="O59" s="22">
        <f>IF(I59&lt;=0,0,(IF(A59&lt;$B$4,SUMPRODUCT(L59:$L$86,K59:$K$86),0)+베타후*(INDEX($M$16:$M$87,MAX(A59,$B$5)+1)-$M$87)-IF(A59&lt;=$B$5,$E$13*(N59-INDEX($N$16:$N$87,$B$5+1)),0))/I59)</f>
        <v>0.84063798409111745</v>
      </c>
      <c r="P59" s="6">
        <f t="shared" si="16"/>
        <v>84064</v>
      </c>
      <c r="Q59" s="7">
        <v>84064</v>
      </c>
      <c r="R59" s="6">
        <f t="shared" si="17"/>
        <v>0</v>
      </c>
    </row>
    <row r="60" spans="1:18" x14ac:dyDescent="0.45">
      <c r="A60">
        <v>44</v>
      </c>
      <c r="B60">
        <f t="shared" si="10"/>
        <v>84</v>
      </c>
      <c r="C60" s="19">
        <f>INDEX(위험률!$B:$B,B60+2)</f>
        <v>6.905E-2</v>
      </c>
      <c r="D60" s="19">
        <f>INDEX(위험률!$C:$C,B60+2)</f>
        <v>1.805E-3</v>
      </c>
      <c r="E60" s="19">
        <f>INDEX(위험률!$D:$D,B60+2)</f>
        <v>3.9649999999999998E-2</v>
      </c>
      <c r="F60" s="19">
        <f t="shared" si="11"/>
        <v>7.0792682374999999E-2</v>
      </c>
      <c r="G60" s="20">
        <f t="shared" si="18"/>
        <v>51652.675288044949</v>
      </c>
      <c r="H60" s="20">
        <f t="shared" si="19"/>
        <v>27072.543057345596</v>
      </c>
      <c r="I60" s="20">
        <f t="shared" si="12"/>
        <v>17427.807046441052</v>
      </c>
      <c r="J60" s="20">
        <f t="shared" si="13"/>
        <v>9134.3779199968812</v>
      </c>
      <c r="K60" s="20">
        <f t="shared" si="14"/>
        <v>1218.6224610622644</v>
      </c>
      <c r="L60" s="21">
        <f t="shared" si="15"/>
        <v>1</v>
      </c>
      <c r="M60" s="20">
        <f>SUM(I60:$I$87)</f>
        <v>119128.29471955403</v>
      </c>
      <c r="N60" s="20">
        <f>SUM(J60:$J$87)</f>
        <v>52370.984606256636</v>
      </c>
      <c r="O60" s="22">
        <f>IF(I60&lt;=0,0,(IF(A60&lt;$B$4,SUMPRODUCT(L60:$L$86,K60:$K$86),0)+베타후*(INDEX($M$16:$M$87,MAX(A60,$B$5)+1)-$M$87)-IF(A60&lt;=$B$5,$E$13*(N60-INDEX($N$16:$N$87,$B$5+1)),0))/I60)</f>
        <v>0.85046698864523373</v>
      </c>
      <c r="P60" s="6">
        <f t="shared" si="16"/>
        <v>85047</v>
      </c>
      <c r="Q60" s="7">
        <v>85047</v>
      </c>
      <c r="R60" s="6">
        <f t="shared" si="17"/>
        <v>0</v>
      </c>
    </row>
    <row r="61" spans="1:18" x14ac:dyDescent="0.45">
      <c r="A61">
        <v>45</v>
      </c>
      <c r="B61">
        <f t="shared" si="10"/>
        <v>85</v>
      </c>
      <c r="C61" s="19">
        <f>INDEX(위험률!$B:$B,B61+2)</f>
        <v>7.7729999999999994E-2</v>
      </c>
      <c r="D61" s="19">
        <f>INDEX(위험률!$C:$C,B61+2)</f>
        <v>1.98E-3</v>
      </c>
      <c r="E61" s="19">
        <f>INDEX(위험률!$D:$D,B61+2)</f>
        <v>3.9917000000000001E-2</v>
      </c>
      <c r="F61" s="19">
        <f t="shared" si="11"/>
        <v>7.9633047299999996E-2</v>
      </c>
      <c r="G61" s="20">
        <f t="shared" si="18"/>
        <v>47996.043852559371</v>
      </c>
      <c r="H61" s="20">
        <f t="shared" si="19"/>
        <v>24120.574148074706</v>
      </c>
      <c r="I61" s="20">
        <f t="shared" si="12"/>
        <v>15799.069109960548</v>
      </c>
      <c r="J61" s="20">
        <f t="shared" si="13"/>
        <v>7939.8756094985729</v>
      </c>
      <c r="K61" s="20">
        <f t="shared" si="14"/>
        <v>1242.6902794854657</v>
      </c>
      <c r="L61" s="21">
        <f t="shared" si="15"/>
        <v>1</v>
      </c>
      <c r="M61" s="20">
        <f>SUM(I61:$I$87)</f>
        <v>101700.48767311296</v>
      </c>
      <c r="N61" s="20">
        <f>SUM(J61:$J$87)</f>
        <v>43236.606686259765</v>
      </c>
      <c r="O61" s="22">
        <f>IF(I61&lt;=0,0,(IF(A61&lt;$B$4,SUMPRODUCT(L61:$L$86,K61:$K$86),0)+베타후*(INDEX($M$16:$M$87,MAX(A61,$B$5)+1)-$M$87)-IF(A61&lt;=$B$5,$E$13*(N61-INDEX($N$16:$N$87,$B$5+1)),0))/I61)</f>
        <v>0.85990663214474206</v>
      </c>
      <c r="P61" s="6">
        <f t="shared" si="16"/>
        <v>85991</v>
      </c>
      <c r="Q61" s="7">
        <v>85991</v>
      </c>
      <c r="R61" s="6">
        <f t="shared" si="17"/>
        <v>0</v>
      </c>
    </row>
    <row r="62" spans="1:18" x14ac:dyDescent="0.45">
      <c r="A62">
        <v>46</v>
      </c>
      <c r="B62">
        <f t="shared" si="10"/>
        <v>86</v>
      </c>
      <c r="C62" s="19">
        <f>INDEX(위험률!$B:$B,B62+2)</f>
        <v>8.7220000000000006E-2</v>
      </c>
      <c r="D62" s="19">
        <f>INDEX(위험률!$C:$C,B62+2)</f>
        <v>2.2239999999999998E-3</v>
      </c>
      <c r="E62" s="19">
        <f>INDEX(위험률!$D:$D,B62+2)</f>
        <v>4.0087999999999999E-2</v>
      </c>
      <c r="F62" s="19">
        <f t="shared" si="11"/>
        <v>8.9347011360000006E-2</v>
      </c>
      <c r="G62" s="20">
        <f t="shared" si="18"/>
        <v>44173.97262223564</v>
      </c>
      <c r="H62" s="20">
        <f t="shared" si="19"/>
        <v>21275.294551224841</v>
      </c>
      <c r="I62" s="20">
        <f t="shared" si="12"/>
        <v>14186.283992420582</v>
      </c>
      <c r="J62" s="20">
        <f t="shared" si="13"/>
        <v>6832.4706294165044</v>
      </c>
      <c r="K62" s="20">
        <f t="shared" si="14"/>
        <v>1251.9493152943851</v>
      </c>
      <c r="L62" s="21">
        <f t="shared" si="15"/>
        <v>1</v>
      </c>
      <c r="M62" s="20">
        <f>SUM(I62:$I$87)</f>
        <v>85901.418563152401</v>
      </c>
      <c r="N62" s="20">
        <f>SUM(J62:$J$87)</f>
        <v>35296.731076761193</v>
      </c>
      <c r="O62" s="22">
        <f>IF(I62&lt;=0,0,(IF(A62&lt;$B$4,SUMPRODUCT(L62:$L$86,K62:$K$86),0)+베타후*(INDEX($M$16:$M$87,MAX(A62,$B$5)+1)-$M$87)-IF(A62&lt;=$B$5,$E$13*(N62-INDEX($N$16:$N$87,$B$5+1)),0))/I62)</f>
        <v>0.86895447513661417</v>
      </c>
      <c r="P62" s="6">
        <f t="shared" si="16"/>
        <v>86895</v>
      </c>
      <c r="Q62" s="7">
        <v>86895</v>
      </c>
      <c r="R62" s="6">
        <f t="shared" si="17"/>
        <v>0</v>
      </c>
    </row>
    <row r="63" spans="1:18" x14ac:dyDescent="0.45">
      <c r="A63">
        <v>47</v>
      </c>
      <c r="B63">
        <f t="shared" si="10"/>
        <v>87</v>
      </c>
      <c r="C63" s="19">
        <f>INDEX(위험률!$B:$B,B63+2)</f>
        <v>9.7739999999999994E-2</v>
      </c>
      <c r="D63" s="19">
        <f>INDEX(위험률!$C:$C,B63+2)</f>
        <v>2.5330000000000001E-3</v>
      </c>
      <c r="E63" s="19">
        <f>INDEX(위험률!$D:$D,B63+2)</f>
        <v>4.0238999999999997E-2</v>
      </c>
      <c r="F63" s="19">
        <f t="shared" si="11"/>
        <v>0.10014921228999998</v>
      </c>
      <c r="G63" s="20">
        <f t="shared" si="18"/>
        <v>40227.160188540423</v>
      </c>
      <c r="H63" s="20">
        <f t="shared" si="19"/>
        <v>18559.627877874111</v>
      </c>
      <c r="I63" s="20">
        <f t="shared" si="12"/>
        <v>12603.689673554727</v>
      </c>
      <c r="J63" s="20">
        <f t="shared" si="13"/>
        <v>5814.9715051478452</v>
      </c>
      <c r="K63" s="20">
        <f t="shared" si="14"/>
        <v>1246.7612811221302</v>
      </c>
      <c r="L63" s="21">
        <f t="shared" si="15"/>
        <v>1</v>
      </c>
      <c r="M63" s="20">
        <f>SUM(I63:$I$87)</f>
        <v>71715.134570731825</v>
      </c>
      <c r="N63" s="20">
        <f>SUM(J63:$J$87)</f>
        <v>28464.260447344688</v>
      </c>
      <c r="O63" s="22">
        <f>IF(I63&lt;=0,0,(IF(A63&lt;$B$4,SUMPRODUCT(L63:$L$86,K63:$K$86),0)+베타후*(INDEX($M$16:$M$87,MAX(A63,$B$5)+1)-$M$87)-IF(A63&lt;=$B$5,$E$13*(N63-INDEX($N$16:$N$87,$B$5+1)),0))/I63)</f>
        <v>0.87760803764429052</v>
      </c>
      <c r="P63" s="6">
        <f t="shared" si="16"/>
        <v>87761</v>
      </c>
      <c r="Q63" s="7">
        <v>87761</v>
      </c>
      <c r="R63" s="6">
        <f t="shared" si="17"/>
        <v>0</v>
      </c>
    </row>
    <row r="64" spans="1:18" x14ac:dyDescent="0.45">
      <c r="A64">
        <v>48</v>
      </c>
      <c r="B64">
        <f t="shared" si="10"/>
        <v>88</v>
      </c>
      <c r="C64" s="19">
        <f>INDEX(위험률!$B:$B,B64+2)</f>
        <v>0.10926</v>
      </c>
      <c r="D64" s="19">
        <f>INDEX(위험률!$C:$C,B64+2)</f>
        <v>2.8909999999999999E-3</v>
      </c>
      <c r="E64" s="19">
        <f>INDEX(위험률!$D:$D,B64+2)</f>
        <v>4.0361000000000001E-2</v>
      </c>
      <c r="F64" s="19">
        <f t="shared" si="11"/>
        <v>0.11199306467</v>
      </c>
      <c r="G64" s="20">
        <f t="shared" si="18"/>
        <v>36198.44178299445</v>
      </c>
      <c r="H64" s="20">
        <f t="shared" si="19"/>
        <v>15991.471660066438</v>
      </c>
      <c r="I64" s="20">
        <f t="shared" si="12"/>
        <v>11064.819591024987</v>
      </c>
      <c r="J64" s="20">
        <f t="shared" si="13"/>
        <v>4888.1316487150389</v>
      </c>
      <c r="K64" s="20">
        <f t="shared" si="14"/>
        <v>1223.977780097192</v>
      </c>
      <c r="L64" s="21">
        <f t="shared" si="15"/>
        <v>1</v>
      </c>
      <c r="M64" s="20">
        <f>SUM(I64:$I$87)</f>
        <v>59111.444897177076</v>
      </c>
      <c r="N64" s="20">
        <f>SUM(J64:$J$87)</f>
        <v>22649.288942196843</v>
      </c>
      <c r="O64" s="22">
        <f>IF(I64&lt;=0,0,(IF(A64&lt;$B$4,SUMPRODUCT(L64:$L$86,K64:$K$86),0)+베타후*(INDEX($M$16:$M$87,MAX(A64,$B$5)+1)-$M$87)-IF(A64&lt;=$B$5,$E$13*(N64-INDEX($N$16:$N$87,$B$5+1)),0))/I64)</f>
        <v>0.88584674246661665</v>
      </c>
      <c r="P64" s="6">
        <f t="shared" si="16"/>
        <v>88585</v>
      </c>
      <c r="Q64" s="7">
        <v>88585</v>
      </c>
      <c r="R64" s="6">
        <f t="shared" si="17"/>
        <v>0</v>
      </c>
    </row>
    <row r="65" spans="1:18" x14ac:dyDescent="0.45">
      <c r="A65">
        <v>49</v>
      </c>
      <c r="B65">
        <f t="shared" si="10"/>
        <v>89</v>
      </c>
      <c r="C65" s="19">
        <f>INDEX(위험률!$B:$B,B65+2)</f>
        <v>0.12171</v>
      </c>
      <c r="D65" s="19">
        <f>INDEX(위험률!$C:$C,B65+2)</f>
        <v>3.2829999999999999E-3</v>
      </c>
      <c r="E65" s="19">
        <f>INDEX(위험률!$D:$D,B65+2)</f>
        <v>4.0418999999999997E-2</v>
      </c>
      <c r="F65" s="19">
        <f t="shared" si="11"/>
        <v>0.12479321303499999</v>
      </c>
      <c r="G65" s="20">
        <f t="shared" si="18"/>
        <v>32144.467351438321</v>
      </c>
      <c r="H65" s="20">
        <f t="shared" si="19"/>
        <v>13591.247894568613</v>
      </c>
      <c r="I65" s="20">
        <f t="shared" si="12"/>
        <v>9585.9868634199447</v>
      </c>
      <c r="J65" s="20">
        <f t="shared" si="13"/>
        <v>4053.1243635302922</v>
      </c>
      <c r="K65" s="20">
        <f t="shared" si="14"/>
        <v>1181.5874332262702</v>
      </c>
      <c r="L65" s="21">
        <f t="shared" si="15"/>
        <v>1</v>
      </c>
      <c r="M65" s="20">
        <f>SUM(I65:$I$87)</f>
        <v>48046.625306152098</v>
      </c>
      <c r="N65" s="20">
        <f>SUM(J65:$J$87)</f>
        <v>17761.1572934818</v>
      </c>
      <c r="O65" s="22">
        <f>IF(I65&lt;=0,0,(IF(A65&lt;$B$4,SUMPRODUCT(L65:$L$86,K65:$K$86),0)+베타후*(INDEX($M$16:$M$87,MAX(A65,$B$5)+1)-$M$87)-IF(A65&lt;=$B$5,$E$13*(N65-INDEX($N$16:$N$87,$B$5+1)),0))/I65)</f>
        <v>0.89366821726957568</v>
      </c>
      <c r="P65" s="6">
        <f t="shared" si="16"/>
        <v>89367</v>
      </c>
      <c r="Q65" s="7">
        <v>89367</v>
      </c>
      <c r="R65" s="6">
        <f t="shared" si="17"/>
        <v>0</v>
      </c>
    </row>
    <row r="66" spans="1:18" x14ac:dyDescent="0.45">
      <c r="A66">
        <v>50</v>
      </c>
      <c r="B66">
        <f t="shared" si="10"/>
        <v>90</v>
      </c>
      <c r="C66" s="19">
        <f>INDEX(위험률!$B:$B,B66+2)</f>
        <v>0.1351</v>
      </c>
      <c r="D66" s="19">
        <f>INDEX(위험률!$C:$C,B66+2)</f>
        <v>3.702E-3</v>
      </c>
      <c r="E66" s="19">
        <f>INDEX(위험률!$D:$D,B66+2)</f>
        <v>4.0439000000000003E-2</v>
      </c>
      <c r="F66" s="19">
        <f t="shared" si="11"/>
        <v>0.13855192990000001</v>
      </c>
      <c r="G66" s="20">
        <f t="shared" si="18"/>
        <v>28133.055989353677</v>
      </c>
      <c r="H66" s="20">
        <f t="shared" si="19"/>
        <v>11380.084993883993</v>
      </c>
      <c r="I66" s="20">
        <f t="shared" si="12"/>
        <v>8185.0934269487507</v>
      </c>
      <c r="J66" s="20">
        <f t="shared" si="13"/>
        <v>3310.9470551939821</v>
      </c>
      <c r="K66" s="20">
        <f t="shared" si="14"/>
        <v>1120.145111070711</v>
      </c>
      <c r="L66" s="21">
        <f t="shared" si="15"/>
        <v>1</v>
      </c>
      <c r="M66" s="20">
        <f>SUM(I66:$I$87)</f>
        <v>38460.638442732146</v>
      </c>
      <c r="N66" s="20">
        <f>SUM(J66:$J$87)</f>
        <v>13708.032929951503</v>
      </c>
      <c r="O66" s="22">
        <f>IF(I66&lt;=0,0,(IF(A66&lt;$B$4,SUMPRODUCT(L66:$L$86,K66:$K$86),0)+베타후*(INDEX($M$16:$M$87,MAX(A66,$B$5)+1)-$M$87)-IF(A66&lt;=$B$5,$E$13*(N66-INDEX($N$16:$N$87,$B$5+1)),0))/I66)</f>
        <v>0.90109153142089915</v>
      </c>
      <c r="P66" s="6">
        <f t="shared" si="16"/>
        <v>90109</v>
      </c>
      <c r="Q66" s="7">
        <v>90109</v>
      </c>
      <c r="R66" s="6">
        <f t="shared" si="17"/>
        <v>0</v>
      </c>
    </row>
    <row r="67" spans="1:18" x14ac:dyDescent="0.45">
      <c r="A67">
        <v>51</v>
      </c>
      <c r="B67">
        <f t="shared" si="10"/>
        <v>91</v>
      </c>
      <c r="C67" s="19">
        <f>INDEX(위험률!$B:$B,B67+2)</f>
        <v>0.14968999999999999</v>
      </c>
      <c r="D67" s="19">
        <f>INDEX(위험률!$C:$C,B67+2)</f>
        <v>4.1390000000000003E-3</v>
      </c>
      <c r="E67" s="19">
        <f>INDEX(위험률!$D:$D,B67+2)</f>
        <v>4.0446000000000003E-2</v>
      </c>
      <c r="F67" s="19">
        <f t="shared" si="11"/>
        <v>0.153519216545</v>
      </c>
      <c r="G67" s="20">
        <f t="shared" si="18"/>
        <v>24235.166788043971</v>
      </c>
      <c r="H67" s="20">
        <f t="shared" si="19"/>
        <v>9375.0337460902974</v>
      </c>
      <c r="I67" s="20">
        <f t="shared" si="12"/>
        <v>6879.0565231543387</v>
      </c>
      <c r="J67" s="20">
        <f t="shared" si="13"/>
        <v>2661.0663590584531</v>
      </c>
      <c r="K67" s="20">
        <f t="shared" si="14"/>
        <v>1043.1089954328186</v>
      </c>
      <c r="L67" s="21">
        <f t="shared" si="15"/>
        <v>1</v>
      </c>
      <c r="M67" s="20">
        <f>SUM(I67:$I$87)</f>
        <v>30275.545015783406</v>
      </c>
      <c r="N67" s="20">
        <f>SUM(J67:$J$87)</f>
        <v>10397.085874757522</v>
      </c>
      <c r="O67" s="22">
        <f>IF(I67&lt;=0,0,(IF(A67&lt;$B$4,SUMPRODUCT(L67:$L$86,K67:$K$86),0)+베타후*(INDEX($M$16:$M$87,MAX(A67,$B$5)+1)-$M$87)-IF(A67&lt;=$B$5,$E$13*(N67-INDEX($N$16:$N$87,$B$5+1)),0))/I67)</f>
        <v>0.90814607284984561</v>
      </c>
      <c r="P67" s="6">
        <f t="shared" si="16"/>
        <v>90815</v>
      </c>
      <c r="Q67" s="7">
        <v>90815</v>
      </c>
      <c r="R67" s="6">
        <f t="shared" si="17"/>
        <v>0</v>
      </c>
    </row>
    <row r="68" spans="1:18" x14ac:dyDescent="0.45">
      <c r="A68">
        <v>52</v>
      </c>
      <c r="B68">
        <f t="shared" si="10"/>
        <v>92</v>
      </c>
      <c r="C68" s="19">
        <f>INDEX(위험률!$B:$B,B68+2)</f>
        <v>0.16591</v>
      </c>
      <c r="D68" s="19">
        <f>INDEX(위험률!$C:$C,B68+2)</f>
        <v>4.5799999999999999E-3</v>
      </c>
      <c r="E68" s="19">
        <f>INDEX(위험률!$D:$D,B68+2)</f>
        <v>4.0454999999999998E-2</v>
      </c>
      <c r="F68" s="19">
        <f t="shared" si="11"/>
        <v>0.17011006610000001</v>
      </c>
      <c r="G68" s="20">
        <f t="shared" si="18"/>
        <v>20514.602969906056</v>
      </c>
      <c r="H68" s="20">
        <f t="shared" si="19"/>
        <v>7585.7092043962448</v>
      </c>
      <c r="I68" s="20">
        <f t="shared" si="12"/>
        <v>5680.9650294155244</v>
      </c>
      <c r="J68" s="20">
        <f t="shared" si="13"/>
        <v>2100.6572136300952</v>
      </c>
      <c r="K68" s="20">
        <f t="shared" si="14"/>
        <v>954.53134971124132</v>
      </c>
      <c r="L68" s="21">
        <f t="shared" si="15"/>
        <v>1</v>
      </c>
      <c r="M68" s="20">
        <f>SUM(I68:$I$87)</f>
        <v>23396.488492629069</v>
      </c>
      <c r="N68" s="20">
        <f>SUM(J68:$J$87)</f>
        <v>7736.0195156990712</v>
      </c>
      <c r="O68" s="22">
        <f>IF(I68&lt;=0,0,(IF(A68&lt;$B$4,SUMPRODUCT(L68:$L$86,K68:$K$86),0)+베타후*(INDEX($M$16:$M$87,MAX(A68,$B$5)+1)-$M$87)-IF(A68&lt;=$B$5,$E$13*(N68-INDEX($N$16:$N$87,$B$5+1)),0))/I68)</f>
        <v>0.914844588471874</v>
      </c>
      <c r="P68" s="6">
        <f t="shared" si="16"/>
        <v>91484</v>
      </c>
      <c r="Q68" s="7">
        <v>91484</v>
      </c>
      <c r="R68" s="6">
        <f t="shared" si="17"/>
        <v>0</v>
      </c>
    </row>
    <row r="69" spans="1:18" x14ac:dyDescent="0.45">
      <c r="A69">
        <v>53</v>
      </c>
      <c r="B69">
        <f t="shared" si="10"/>
        <v>93</v>
      </c>
      <c r="C69" s="19">
        <f>INDEX(위험률!$B:$B,B69+2)</f>
        <v>0.18379000000000001</v>
      </c>
      <c r="D69" s="19">
        <f>INDEX(위험률!$C:$C,B69+2)</f>
        <v>5.006E-3</v>
      </c>
      <c r="E69" s="19">
        <f>INDEX(위험률!$D:$D,B69+2)</f>
        <v>4.0466000000000002E-2</v>
      </c>
      <c r="F69" s="19">
        <f t="shared" si="11"/>
        <v>0.18833597363000001</v>
      </c>
      <c r="G69" s="20">
        <f t="shared" si="18"/>
        <v>17024.86250268008</v>
      </c>
      <c r="H69" s="20">
        <f t="shared" si="19"/>
        <v>6014.5255214906001</v>
      </c>
      <c r="I69" s="20">
        <f t="shared" si="12"/>
        <v>4599.5860417071817</v>
      </c>
      <c r="J69" s="20">
        <f t="shared" si="13"/>
        <v>1624.9369198596942</v>
      </c>
      <c r="K69" s="20">
        <f t="shared" si="14"/>
        <v>855.63806363583046</v>
      </c>
      <c r="L69" s="21">
        <f t="shared" si="15"/>
        <v>1</v>
      </c>
      <c r="M69" s="20">
        <f>SUM(I69:$I$87)</f>
        <v>17715.523463213547</v>
      </c>
      <c r="N69" s="20">
        <f>SUM(J69:$J$87)</f>
        <v>5635.3623020689765</v>
      </c>
      <c r="O69" s="22">
        <f>IF(I69&lt;=0,0,(IF(A69&lt;$B$4,SUMPRODUCT(L69:$L$86,K69:$K$86),0)+베타후*(INDEX($M$16:$M$87,MAX(A69,$B$5)+1)-$M$87)-IF(A69&lt;=$B$5,$E$13*(N69-INDEX($N$16:$N$87,$B$5+1)),0))/I69)</f>
        <v>0.92116720098261184</v>
      </c>
      <c r="P69" s="6">
        <f t="shared" si="16"/>
        <v>92117</v>
      </c>
      <c r="Q69" s="7">
        <v>92117</v>
      </c>
      <c r="R69" s="6">
        <f t="shared" si="17"/>
        <v>0</v>
      </c>
    </row>
    <row r="70" spans="1:18" x14ac:dyDescent="0.45">
      <c r="A70">
        <v>54</v>
      </c>
      <c r="B70">
        <f t="shared" si="10"/>
        <v>94</v>
      </c>
      <c r="C70" s="19">
        <f>INDEX(위험률!$B:$B,B70+2)</f>
        <v>0.20316999999999999</v>
      </c>
      <c r="D70" s="19">
        <f>INDEX(위험률!$C:$C,B70+2)</f>
        <v>5.4019999999999997E-3</v>
      </c>
      <c r="E70" s="19">
        <f>INDEX(위험률!$D:$D,B70+2)</f>
        <v>4.0469999999999999E-2</v>
      </c>
      <c r="F70" s="19">
        <f t="shared" si="11"/>
        <v>0.20802323782999999</v>
      </c>
      <c r="G70" s="20">
        <f t="shared" si="18"/>
        <v>13818.468447320949</v>
      </c>
      <c r="H70" s="20">
        <f t="shared" si="19"/>
        <v>4661.3091732299572</v>
      </c>
      <c r="I70" s="20">
        <f t="shared" si="12"/>
        <v>3642.2619768266363</v>
      </c>
      <c r="J70" s="20">
        <f t="shared" si="13"/>
        <v>1228.6245200480394</v>
      </c>
      <c r="K70" s="20">
        <f t="shared" si="14"/>
        <v>748.3781499977149</v>
      </c>
      <c r="L70" s="21">
        <f t="shared" si="15"/>
        <v>1</v>
      </c>
      <c r="M70" s="20">
        <f>SUM(I70:$I$87)</f>
        <v>13115.937421506365</v>
      </c>
      <c r="N70" s="20">
        <f>SUM(J70:$J$87)</f>
        <v>4010.4253822092828</v>
      </c>
      <c r="O70" s="22">
        <f>IF(I70&lt;=0,0,(IF(A70&lt;$B$4,SUMPRODUCT(L70:$L$86,K70:$K$86),0)+베타후*(INDEX($M$16:$M$87,MAX(A70,$B$5)+1)-$M$87)-IF(A70&lt;=$B$5,$E$13*(N70-INDEX($N$16:$N$87,$B$5+1)),0))/I70)</f>
        <v>0.92710249057443961</v>
      </c>
      <c r="P70" s="6">
        <f t="shared" si="16"/>
        <v>92710</v>
      </c>
      <c r="Q70" s="7">
        <v>92710</v>
      </c>
      <c r="R70" s="6">
        <f t="shared" si="17"/>
        <v>0</v>
      </c>
    </row>
    <row r="71" spans="1:18" x14ac:dyDescent="0.45">
      <c r="A71">
        <v>55</v>
      </c>
      <c r="B71">
        <f t="shared" si="10"/>
        <v>95</v>
      </c>
      <c r="C71" s="19">
        <f>INDEX(위험률!$B:$B,B71+2)</f>
        <v>0.22392000000000001</v>
      </c>
      <c r="D71" s="19">
        <f>INDEX(위험률!$C:$C,B71+2)</f>
        <v>5.7590000000000002E-3</v>
      </c>
      <c r="E71" s="19">
        <f>INDEX(위험률!$D:$D,B71+2)</f>
        <v>4.0472000000000001E-2</v>
      </c>
      <c r="F71" s="19">
        <f t="shared" si="11"/>
        <v>0.22903422236000001</v>
      </c>
      <c r="G71" s="20">
        <f t="shared" si="18"/>
        <v>10943.905899057552</v>
      </c>
      <c r="H71" s="20">
        <f t="shared" si="19"/>
        <v>3522.6264470294886</v>
      </c>
      <c r="I71" s="20">
        <f t="shared" si="12"/>
        <v>2814.2310706166477</v>
      </c>
      <c r="J71" s="20">
        <f t="shared" si="13"/>
        <v>905.84521548746386</v>
      </c>
      <c r="K71" s="20">
        <f t="shared" si="14"/>
        <v>636.64627221012404</v>
      </c>
      <c r="L71" s="21">
        <f t="shared" si="15"/>
        <v>1</v>
      </c>
      <c r="M71" s="20">
        <f>SUM(I71:$I$87)</f>
        <v>9473.6754446797295</v>
      </c>
      <c r="N71" s="20">
        <f>SUM(J71:$J$87)</f>
        <v>2781.8008621612435</v>
      </c>
      <c r="O71" s="22">
        <f>IF(I71&lt;=0,0,(IF(A71&lt;$B$4,SUMPRODUCT(L71:$L$86,K71:$K$86),0)+베타후*(INDEX($M$16:$M$87,MAX(A71,$B$5)+1)-$M$87)-IF(A71&lt;=$B$5,$E$13*(N71-INDEX($N$16:$N$87,$B$5+1)),0))/I71)</f>
        <v>0.93266319367687534</v>
      </c>
      <c r="P71" s="6">
        <f t="shared" si="16"/>
        <v>93266</v>
      </c>
      <c r="Q71" s="7">
        <v>93266</v>
      </c>
      <c r="R71" s="6">
        <f t="shared" si="17"/>
        <v>0</v>
      </c>
    </row>
    <row r="72" spans="1:18" x14ac:dyDescent="0.45">
      <c r="A72">
        <v>56</v>
      </c>
      <c r="B72">
        <f t="shared" si="10"/>
        <v>96</v>
      </c>
      <c r="C72" s="19">
        <f>INDEX(위험률!$B:$B,B72+2)</f>
        <v>0.24623</v>
      </c>
      <c r="D72" s="19">
        <f>INDEX(위험률!$C:$C,B72+2)</f>
        <v>6.0769999999999999E-3</v>
      </c>
      <c r="E72" s="19">
        <f>INDEX(위험률!$D:$D,B72+2)</f>
        <v>4.0473000000000002E-2</v>
      </c>
      <c r="F72" s="19">
        <f t="shared" si="11"/>
        <v>0.25155883014500002</v>
      </c>
      <c r="G72" s="20">
        <f t="shared" si="18"/>
        <v>8437.3769218858888</v>
      </c>
      <c r="H72" s="20">
        <f t="shared" si="19"/>
        <v>2589.5831459584606</v>
      </c>
      <c r="I72" s="20">
        <f t="shared" si="12"/>
        <v>2116.7569227479153</v>
      </c>
      <c r="J72" s="20">
        <f t="shared" si="13"/>
        <v>649.67087543763409</v>
      </c>
      <c r="K72" s="20">
        <f t="shared" si="14"/>
        <v>525.95504166422779</v>
      </c>
      <c r="L72" s="21">
        <f t="shared" si="15"/>
        <v>1</v>
      </c>
      <c r="M72" s="20">
        <f>SUM(I72:$I$87)</f>
        <v>6659.4443740630804</v>
      </c>
      <c r="N72" s="20">
        <f>SUM(J72:$J$87)</f>
        <v>1875.9556466737795</v>
      </c>
      <c r="O72" s="22">
        <f>IF(I72&lt;=0,0,(IF(A72&lt;$B$4,SUMPRODUCT(L72:$L$86,K72:$K$86),0)+베타후*(INDEX($M$16:$M$87,MAX(A72,$B$5)+1)-$M$87)-IF(A72&lt;=$B$5,$E$13*(N72-INDEX($N$16:$N$87,$B$5+1)),0))/I72)</f>
        <v>0.93788248119111006</v>
      </c>
      <c r="P72" s="6">
        <f t="shared" si="16"/>
        <v>93788</v>
      </c>
      <c r="Q72" s="7">
        <v>93788</v>
      </c>
      <c r="R72" s="6">
        <f t="shared" si="17"/>
        <v>0</v>
      </c>
    </row>
    <row r="73" spans="1:18" x14ac:dyDescent="0.45">
      <c r="A73">
        <v>57</v>
      </c>
      <c r="B73">
        <f t="shared" si="10"/>
        <v>97</v>
      </c>
      <c r="C73" s="19">
        <f>INDEX(위험률!$B:$B,B73+2)</f>
        <v>0.27052999999999999</v>
      </c>
      <c r="D73" s="19">
        <f>INDEX(위험률!$C:$C,B73+2)</f>
        <v>6.3629999999999997E-3</v>
      </c>
      <c r="E73" s="19">
        <f>INDEX(위험률!$D:$D,B73+2)</f>
        <v>4.0474000000000003E-2</v>
      </c>
      <c r="F73" s="19">
        <f t="shared" si="11"/>
        <v>0.27603230880500002</v>
      </c>
      <c r="G73" s="20">
        <f t="shared" si="18"/>
        <v>6314.8802539238532</v>
      </c>
      <c r="H73" s="20">
        <f t="shared" si="19"/>
        <v>1846.525154454624</v>
      </c>
      <c r="I73" s="20">
        <f t="shared" si="12"/>
        <v>1545.6273439610923</v>
      </c>
      <c r="J73" s="20">
        <f t="shared" si="13"/>
        <v>451.95469356107623</v>
      </c>
      <c r="K73" s="20">
        <f t="shared" si="14"/>
        <v>421.4080015746265</v>
      </c>
      <c r="L73" s="21">
        <f t="shared" si="15"/>
        <v>1</v>
      </c>
      <c r="M73" s="20">
        <f>SUM(I73:$I$87)</f>
        <v>4542.6874513151652</v>
      </c>
      <c r="N73" s="20">
        <f>SUM(J73:$J$87)</f>
        <v>1226.2847712361454</v>
      </c>
      <c r="O73" s="22">
        <f>IF(I73&lt;=0,0,(IF(A73&lt;$B$4,SUMPRODUCT(L73:$L$86,K73:$K$86),0)+베타후*(INDEX($M$16:$M$87,MAX(A73,$B$5)+1)-$M$87)-IF(A73&lt;=$B$5,$E$13*(N73-INDEX($N$16:$N$87,$B$5+1)),0))/I73)</f>
        <v>0.94278704494437304</v>
      </c>
      <c r="P73" s="6">
        <f t="shared" si="16"/>
        <v>94279</v>
      </c>
      <c r="Q73" s="7">
        <v>94279</v>
      </c>
      <c r="R73" s="6">
        <f t="shared" si="17"/>
        <v>0</v>
      </c>
    </row>
    <row r="74" spans="1:18" x14ac:dyDescent="0.45">
      <c r="A74">
        <v>58</v>
      </c>
      <c r="B74">
        <f t="shared" si="10"/>
        <v>98</v>
      </c>
      <c r="C74" s="19">
        <f>INDEX(위험률!$B:$B,B74+2)</f>
        <v>0.29698999999999998</v>
      </c>
      <c r="D74" s="19">
        <f>INDEX(위험률!$C:$C,B74+2)</f>
        <v>6.6379999999999998E-3</v>
      </c>
      <c r="E74" s="19">
        <f>INDEX(위험률!$D:$D,B74+2)</f>
        <v>4.0474000000000003E-2</v>
      </c>
      <c r="F74" s="19">
        <f t="shared" si="11"/>
        <v>0.30264229018999994</v>
      </c>
      <c r="G74" s="20">
        <f t="shared" si="18"/>
        <v>4571.7692776061467</v>
      </c>
      <c r="H74" s="20">
        <f t="shared" si="19"/>
        <v>1272.4031047782119</v>
      </c>
      <c r="I74" s="20">
        <f t="shared" si="12"/>
        <v>1091.6919606393874</v>
      </c>
      <c r="J74" s="20">
        <f t="shared" si="13"/>
        <v>303.83690773352214</v>
      </c>
      <c r="K74" s="20">
        <f t="shared" si="14"/>
        <v>326.33811014241513</v>
      </c>
      <c r="L74" s="21">
        <f t="shared" si="15"/>
        <v>1</v>
      </c>
      <c r="M74" s="20">
        <f>SUM(I74:$I$87)</f>
        <v>2997.0601073540734</v>
      </c>
      <c r="N74" s="20">
        <f>SUM(J74:$J$87)</f>
        <v>774.33007767506888</v>
      </c>
      <c r="O74" s="22">
        <f>IF(I74&lt;=0,0,(IF(A74&lt;$B$4,SUMPRODUCT(L74:$L$86,K74:$K$86),0)+베타후*(INDEX($M$16:$M$87,MAX(A74,$B$5)+1)-$M$87)-IF(A74&lt;=$B$5,$E$13*(N74-INDEX($N$16:$N$87,$B$5+1)),0))/I74)</f>
        <v>0.94737695665906496</v>
      </c>
      <c r="P74" s="6">
        <f t="shared" si="16"/>
        <v>94738</v>
      </c>
      <c r="Q74" s="7">
        <v>94738</v>
      </c>
      <c r="R74" s="6">
        <f t="shared" si="17"/>
        <v>0</v>
      </c>
    </row>
    <row r="75" spans="1:18" x14ac:dyDescent="0.45">
      <c r="A75">
        <v>59</v>
      </c>
      <c r="B75">
        <f t="shared" si="10"/>
        <v>99</v>
      </c>
      <c r="C75" s="19">
        <f>INDEX(위험률!$B:$B,B75+2)</f>
        <v>0.32546000000000003</v>
      </c>
      <c r="D75" s="19">
        <f>INDEX(위험률!$C:$C,B75+2)</f>
        <v>6.914E-3</v>
      </c>
      <c r="E75" s="19">
        <f>INDEX(위험률!$D:$D,B75+2)</f>
        <v>4.0474999999999997E-2</v>
      </c>
      <c r="F75" s="19">
        <f t="shared" si="11"/>
        <v>0.33124888478000003</v>
      </c>
      <c r="G75" s="20">
        <f t="shared" si="18"/>
        <v>3188.1585532111412</v>
      </c>
      <c r="H75" s="20">
        <f t="shared" si="19"/>
        <v>843.61379630252588</v>
      </c>
      <c r="I75" s="20">
        <f t="shared" si="12"/>
        <v>742.73151755070444</v>
      </c>
      <c r="J75" s="20">
        <f t="shared" si="13"/>
        <v>196.5330596633566</v>
      </c>
      <c r="K75" s="20">
        <f t="shared" si="14"/>
        <v>243.01011197472232</v>
      </c>
      <c r="L75" s="21">
        <f t="shared" si="15"/>
        <v>1</v>
      </c>
      <c r="M75" s="20">
        <f>SUM(I75:$I$87)</f>
        <v>1905.3681467146855</v>
      </c>
      <c r="N75" s="20">
        <f>SUM(J75:$J$87)</f>
        <v>470.4931699415468</v>
      </c>
      <c r="O75" s="22">
        <f>IF(I75&lt;=0,0,(IF(A75&lt;$B$4,SUMPRODUCT(L75:$L$86,K75:$K$86),0)+베타후*(INDEX($M$16:$M$87,MAX(A75,$B$5)+1)-$M$87)-IF(A75&lt;=$B$5,$E$13*(N75-INDEX($N$16:$N$87,$B$5+1)),0))/I75)</f>
        <v>0.9516413245899501</v>
      </c>
      <c r="P75" s="6">
        <f t="shared" si="16"/>
        <v>95164</v>
      </c>
      <c r="Q75" s="7">
        <v>95164</v>
      </c>
      <c r="R75" s="6">
        <f t="shared" si="17"/>
        <v>0</v>
      </c>
    </row>
    <row r="76" spans="1:18" x14ac:dyDescent="0.45">
      <c r="A76">
        <v>60</v>
      </c>
      <c r="B76">
        <f t="shared" si="10"/>
        <v>100</v>
      </c>
      <c r="C76" s="19">
        <f>INDEX(위험률!$B:$B,B76+2)</f>
        <v>0.35547000000000001</v>
      </c>
      <c r="D76" s="19">
        <f>INDEX(위험률!$C:$C,B76+2)</f>
        <v>7.2049999999999996E-3</v>
      </c>
      <c r="E76" s="19">
        <f>INDEX(위험률!$D:$D,B76+2)</f>
        <v>4.0474999999999997E-2</v>
      </c>
      <c r="F76" s="19">
        <f t="shared" si="11"/>
        <v>0.36139441932500005</v>
      </c>
      <c r="G76" s="20">
        <f t="shared" si="18"/>
        <v>2132.0845879581325</v>
      </c>
      <c r="H76" s="20">
        <f t="shared" si="19"/>
        <v>535.6776897268395</v>
      </c>
      <c r="I76" s="20">
        <f t="shared" si="12"/>
        <v>484.58783480105041</v>
      </c>
      <c r="J76" s="20">
        <f t="shared" si="13"/>
        <v>121.75074726493705</v>
      </c>
      <c r="K76" s="20">
        <f t="shared" si="14"/>
        <v>172.97845608058626</v>
      </c>
      <c r="L76" s="21">
        <f t="shared" si="15"/>
        <v>1</v>
      </c>
      <c r="M76" s="20">
        <f>SUM(I76:$I$87)</f>
        <v>1162.6366291639813</v>
      </c>
      <c r="N76" s="20">
        <f>SUM(J76:$J$87)</f>
        <v>273.96011027819014</v>
      </c>
      <c r="O76" s="22">
        <f>IF(I76&lt;=0,0,(IF(A76&lt;$B$4,SUMPRODUCT(L76:$L$86,K76:$K$86),0)+베타후*(INDEX($M$16:$M$87,MAX(A76,$B$5)+1)-$M$87)-IF(A76&lt;=$B$5,$E$13*(N76-INDEX($N$16:$N$87,$B$5+1)),0))/I76)</f>
        <v>0.9555773554953042</v>
      </c>
      <c r="P76" s="6">
        <f t="shared" si="16"/>
        <v>95558</v>
      </c>
      <c r="Q76" s="7">
        <v>95558</v>
      </c>
      <c r="R76" s="6">
        <f t="shared" si="17"/>
        <v>0</v>
      </c>
    </row>
    <row r="77" spans="1:18" x14ac:dyDescent="0.45">
      <c r="A77">
        <v>61</v>
      </c>
      <c r="B77">
        <f t="shared" si="10"/>
        <v>101</v>
      </c>
      <c r="C77" s="19">
        <f>INDEX(위험률!$B:$B,B77+2)</f>
        <v>0.38674999999999998</v>
      </c>
      <c r="D77" s="19">
        <f>INDEX(위험률!$C:$C,B77+2)</f>
        <v>7.5129999999999997E-3</v>
      </c>
      <c r="E77" s="19">
        <f>INDEX(위험률!$D:$D,B77+2)</f>
        <v>4.0474999999999997E-2</v>
      </c>
      <c r="F77" s="19">
        <f t="shared" si="11"/>
        <v>0.39281017362499998</v>
      </c>
      <c r="G77" s="20">
        <f t="shared" si="18"/>
        <v>1361.5611163412211</v>
      </c>
      <c r="H77" s="20">
        <f t="shared" si="19"/>
        <v>324.32300400875147</v>
      </c>
      <c r="I77" s="20">
        <f t="shared" si="12"/>
        <v>301.91267866455189</v>
      </c>
      <c r="J77" s="20">
        <f t="shared" si="13"/>
        <v>71.915410713210548</v>
      </c>
      <c r="K77" s="20">
        <f t="shared" si="14"/>
        <v>117.13917094964742</v>
      </c>
      <c r="L77" s="21">
        <f t="shared" si="15"/>
        <v>1</v>
      </c>
      <c r="M77" s="20">
        <f>SUM(I77:$I$87)</f>
        <v>678.04879436293072</v>
      </c>
      <c r="N77" s="20">
        <f>SUM(J77:$J$87)</f>
        <v>152.20936301325315</v>
      </c>
      <c r="O77" s="22">
        <f>IF(I77&lt;=0,0,(IF(A77&lt;$B$4,SUMPRODUCT(L77:$L$86,K77:$K$86),0)+베타후*(INDEX($M$16:$M$87,MAX(A77,$B$5)+1)-$M$87)-IF(A77&lt;=$B$5,$E$13*(N77-INDEX($N$16:$N$87,$B$5+1)),0))/I77)</f>
        <v>0.95921151456763254</v>
      </c>
      <c r="P77" s="6">
        <f t="shared" si="16"/>
        <v>95921</v>
      </c>
      <c r="Q77" s="7">
        <v>95921</v>
      </c>
      <c r="R77" s="6">
        <f t="shared" si="17"/>
        <v>0</v>
      </c>
    </row>
    <row r="78" spans="1:18" x14ac:dyDescent="0.45">
      <c r="A78">
        <v>62</v>
      </c>
      <c r="B78">
        <f t="shared" si="10"/>
        <v>102</v>
      </c>
      <c r="C78" s="19">
        <f>INDEX(위험률!$B:$B,B78+2)</f>
        <v>0.41937000000000002</v>
      </c>
      <c r="D78" s="19">
        <f>INDEX(위험률!$C:$C,B78+2)</f>
        <v>7.8329999999999997E-3</v>
      </c>
      <c r="E78" s="19">
        <f>INDEX(위험률!$D:$D,B78+2)</f>
        <v>4.0474999999999997E-2</v>
      </c>
      <c r="F78" s="19">
        <f t="shared" si="11"/>
        <v>0.42556053739499999</v>
      </c>
      <c r="G78" s="20">
        <f t="shared" si="18"/>
        <v>826.72605783017718</v>
      </c>
      <c r="H78" s="20">
        <f t="shared" si="19"/>
        <v>186.37685929322805</v>
      </c>
      <c r="I78" s="20">
        <f t="shared" si="12"/>
        <v>178.8471287207224</v>
      </c>
      <c r="J78" s="20">
        <f t="shared" si="13"/>
        <v>40.31923976373205</v>
      </c>
      <c r="K78" s="20">
        <f t="shared" si="14"/>
        <v>75.176376372654701</v>
      </c>
      <c r="L78" s="21">
        <f t="shared" si="15"/>
        <v>1</v>
      </c>
      <c r="M78" s="20">
        <f>SUM(I78:$I$87)</f>
        <v>376.13611569837872</v>
      </c>
      <c r="N78" s="20">
        <f>SUM(J78:$J$87)</f>
        <v>80.293952300042605</v>
      </c>
      <c r="O78" s="22">
        <f>IF(I78&lt;=0,0,(IF(A78&lt;$B$4,SUMPRODUCT(L78:$L$86,K78:$K$86),0)+베타후*(INDEX($M$16:$M$87,MAX(A78,$B$5)+1)-$M$87)-IF(A78&lt;=$B$5,$E$13*(N78-INDEX($N$16:$N$87,$B$5+1)),0))/I78)</f>
        <v>0.96259322345350351</v>
      </c>
      <c r="P78" s="6">
        <f t="shared" si="16"/>
        <v>96259</v>
      </c>
      <c r="Q78" s="7">
        <v>96259</v>
      </c>
      <c r="R78" s="6">
        <f t="shared" si="17"/>
        <v>0</v>
      </c>
    </row>
    <row r="79" spans="1:18" x14ac:dyDescent="0.45">
      <c r="A79">
        <v>63</v>
      </c>
      <c r="B79">
        <f t="shared" si="10"/>
        <v>103</v>
      </c>
      <c r="C79" s="19">
        <f>INDEX(위험률!$B:$B,B79+2)</f>
        <v>0.45090000000000002</v>
      </c>
      <c r="D79" s="19">
        <f>INDEX(위험률!$C:$C,B79+2)</f>
        <v>8.1589999999999996E-3</v>
      </c>
      <c r="E79" s="19">
        <f>INDEX(위험률!$D:$D,B79+2)</f>
        <v>4.0474999999999997E-2</v>
      </c>
      <c r="F79" s="19">
        <f t="shared" si="11"/>
        <v>0.45721955344999998</v>
      </c>
      <c r="G79" s="20">
        <f t="shared" si="18"/>
        <v>474.90407238151715</v>
      </c>
      <c r="H79" s="20">
        <f t="shared" si="19"/>
        <v>101.12374946863729</v>
      </c>
      <c r="I79" s="20">
        <f t="shared" si="12"/>
        <v>100.23107171783323</v>
      </c>
      <c r="J79" s="20">
        <f t="shared" si="13"/>
        <v>21.34271398124498</v>
      </c>
      <c r="K79" s="20">
        <f t="shared" si="14"/>
        <v>45.265282644247137</v>
      </c>
      <c r="L79" s="21">
        <f t="shared" si="15"/>
        <v>1</v>
      </c>
      <c r="M79" s="20">
        <f>SUM(I79:$I$87)</f>
        <v>197.28898697765632</v>
      </c>
      <c r="N79" s="20">
        <f>SUM(J79:$J$87)</f>
        <v>39.974712536310548</v>
      </c>
      <c r="O79" s="22">
        <f>IF(I79&lt;=0,0,(IF(A79&lt;$B$4,SUMPRODUCT(L79:$L$86,K79:$K$86),0)+베타후*(INDEX($M$16:$M$87,MAX(A79,$B$5)+1)-$M$87)-IF(A79&lt;=$B$5,$E$13*(N79-INDEX($N$16:$N$87,$B$5+1)),0))/I79)</f>
        <v>0.96578644705926375</v>
      </c>
      <c r="P79" s="6">
        <f t="shared" si="16"/>
        <v>96579</v>
      </c>
      <c r="Q79" s="7">
        <v>96579</v>
      </c>
      <c r="R79" s="6">
        <f t="shared" si="17"/>
        <v>0</v>
      </c>
    </row>
    <row r="80" spans="1:18" x14ac:dyDescent="0.45">
      <c r="A80">
        <v>64</v>
      </c>
      <c r="B80">
        <f t="shared" ref="B80:B111" si="20">가입나이+A80</f>
        <v>104</v>
      </c>
      <c r="C80" s="19">
        <f>INDEX(위험률!$B:$B,B80+2)</f>
        <v>0.48142000000000001</v>
      </c>
      <c r="D80" s="19">
        <f>INDEX(위험률!$C:$C,B80+2)</f>
        <v>8.6409999999999994E-3</v>
      </c>
      <c r="E80" s="19">
        <f>INDEX(위험률!$D:$D,B80+2)</f>
        <v>4.0475999999999998E-2</v>
      </c>
      <c r="F80" s="19">
        <f t="shared" ref="F80:F87" si="21">MIN(1,C80+D80-C80*D80/2)</f>
        <v>0.48798102489</v>
      </c>
      <c r="G80" s="20">
        <f t="shared" si="18"/>
        <v>257.76864447565339</v>
      </c>
      <c r="H80" s="20">
        <f t="shared" si="19"/>
        <v>51.730706237108087</v>
      </c>
      <c r="I80" s="20">
        <f t="shared" ref="I80:I87" si="22">G80*현가율^A80</f>
        <v>53.076552063600566</v>
      </c>
      <c r="J80" s="20">
        <f t="shared" ref="J80:J87" si="23">H80*현가율^A80</f>
        <v>10.651751412457104</v>
      </c>
      <c r="K80" s="20">
        <f t="shared" ref="K80:K87" si="24">G80*F80*현가율^(A80+0.5)</f>
        <v>25.582542528849025</v>
      </c>
      <c r="L80" s="21">
        <f t="shared" ref="L80:L87" si="25">IF(A80=0,$B$7,1)</f>
        <v>1</v>
      </c>
      <c r="M80" s="20">
        <f>SUM(I80:$I$87)</f>
        <v>97.057915259823091</v>
      </c>
      <c r="N80" s="20">
        <f>SUM(J80:$J$87)</f>
        <v>18.631998555065572</v>
      </c>
      <c r="O80" s="22">
        <f>IF(I80&lt;=0,0,(IF(A80&lt;$B$4,SUMPRODUCT(L80:$L$86,K80:$K$86),0)+베타후*(INDEX($M$16:$M$87,MAX(A80,$B$5)+1)-$M$87)-IF(A80&lt;=$B$5,$E$13*(N80-INDEX($N$16:$N$87,$B$5+1)),0))/I80)</f>
        <v>0.9690964262657521</v>
      </c>
      <c r="P80" s="6">
        <f t="shared" ref="P80:P111" si="26">ROUND(O80*100000,0)</f>
        <v>96910</v>
      </c>
      <c r="Q80" s="7">
        <v>96910</v>
      </c>
      <c r="R80" s="6">
        <f t="shared" ref="R80:R111" si="27">P80-Q80</f>
        <v>0</v>
      </c>
    </row>
    <row r="81" spans="1:18" x14ac:dyDescent="0.45">
      <c r="A81">
        <v>65</v>
      </c>
      <c r="B81">
        <f t="shared" si="20"/>
        <v>105</v>
      </c>
      <c r="C81" s="19">
        <f>INDEX(위험률!$B:$B,B81+2)</f>
        <v>0.54379999999999995</v>
      </c>
      <c r="D81" s="19">
        <f>INDEX(위험률!$C:$C,B81+2)</f>
        <v>9.1520000000000004E-3</v>
      </c>
      <c r="E81" s="19">
        <f>INDEX(위험률!$D:$D,B81+2)</f>
        <v>4.0474999999999997E-2</v>
      </c>
      <c r="F81" s="19">
        <f t="shared" si="21"/>
        <v>0.5504635712</v>
      </c>
      <c r="G81" s="20">
        <f t="shared" ref="G81:G87" si="28">G80*MAX(0,1-F80)</f>
        <v>131.98243715991799</v>
      </c>
      <c r="H81" s="20">
        <f t="shared" ref="H81:H87" si="29">H80*MAX(0,1-F80-E80+F80*E80/2)</f>
        <v>24.904131162070119</v>
      </c>
      <c r="I81" s="20">
        <f t="shared" si="22"/>
        <v>26.513367599977869</v>
      </c>
      <c r="J81" s="20">
        <f t="shared" si="23"/>
        <v>5.002880674630811</v>
      </c>
      <c r="K81" s="20">
        <f t="shared" si="24"/>
        <v>14.415560857089821</v>
      </c>
      <c r="L81" s="21">
        <f t="shared" si="25"/>
        <v>1</v>
      </c>
      <c r="M81" s="20">
        <f>SUM(I81:$I$87)</f>
        <v>43.981363196222539</v>
      </c>
      <c r="N81" s="20">
        <f>SUM(J81:$J$87)</f>
        <v>7.9802471426084676</v>
      </c>
      <c r="O81" s="22">
        <f>IF(I81&lt;=0,0,(IF(A81&lt;$B$4,SUMPRODUCT(L81:$L$86,K81:$K$86),0)+베타후*(INDEX($M$16:$M$87,MAX(A81,$B$5)+1)-$M$87)-IF(A81&lt;=$B$5,$E$13*(N81-INDEX($N$16:$N$87,$B$5+1)),0))/I81)</f>
        <v>0.97311960636989603</v>
      </c>
      <c r="P81" s="6">
        <f t="shared" si="26"/>
        <v>97312</v>
      </c>
      <c r="Q81" s="7">
        <v>97312</v>
      </c>
      <c r="R81" s="6">
        <f t="shared" si="27"/>
        <v>0</v>
      </c>
    </row>
    <row r="82" spans="1:18" x14ac:dyDescent="0.45">
      <c r="A82">
        <v>66</v>
      </c>
      <c r="B82">
        <f t="shared" si="20"/>
        <v>106</v>
      </c>
      <c r="C82" s="19">
        <f>INDEX(위험률!$B:$B,B82+2)</f>
        <v>0.61426000000000003</v>
      </c>
      <c r="D82" s="19">
        <f>INDEX(위험률!$C:$C,B82+2)</f>
        <v>9.6950000000000005E-3</v>
      </c>
      <c r="E82" s="19">
        <f>INDEX(위험률!$D:$D,B82+2)</f>
        <v>4.0474999999999997E-2</v>
      </c>
      <c r="F82" s="19">
        <f t="shared" si="21"/>
        <v>0.62097737465000002</v>
      </c>
      <c r="G82" s="20">
        <f t="shared" si="28"/>
        <v>59.330913465189951</v>
      </c>
      <c r="H82" s="20">
        <f t="shared" si="29"/>
        <v>10.464751659753198</v>
      </c>
      <c r="I82" s="20">
        <f t="shared" si="22"/>
        <v>11.628023986688468</v>
      </c>
      <c r="J82" s="20">
        <f t="shared" si="23"/>
        <v>2.0509440392442566</v>
      </c>
      <c r="K82" s="20">
        <f t="shared" si="24"/>
        <v>7.1321384176931693</v>
      </c>
      <c r="L82" s="21">
        <f t="shared" si="25"/>
        <v>1</v>
      </c>
      <c r="M82" s="20">
        <f>SUM(I82:$I$87)</f>
        <v>17.467995596244666</v>
      </c>
      <c r="N82" s="20">
        <f>SUM(J82:$J$87)</f>
        <v>2.9773664679776557</v>
      </c>
      <c r="O82" s="22">
        <f>IF(I82&lt;=0,0,(IF(A82&lt;$B$4,SUMPRODUCT(L82:$L$86,K82:$K$86),0)+베타후*(INDEX($M$16:$M$87,MAX(A82,$B$5)+1)-$M$87)-IF(A82&lt;=$B$5,$E$13*(N82-INDEX($N$16:$N$87,$B$5+1)),0))/I82)</f>
        <v>0.97683008142605521</v>
      </c>
      <c r="P82" s="6">
        <f t="shared" si="26"/>
        <v>97683</v>
      </c>
      <c r="Q82" s="7">
        <v>97683</v>
      </c>
      <c r="R82" s="6">
        <f t="shared" si="27"/>
        <v>0</v>
      </c>
    </row>
    <row r="83" spans="1:18" x14ac:dyDescent="0.45">
      <c r="A83">
        <v>67</v>
      </c>
      <c r="B83">
        <f t="shared" si="20"/>
        <v>107</v>
      </c>
      <c r="C83" s="19">
        <f>INDEX(위험률!$B:$B,B83+2)</f>
        <v>0.69384999999999997</v>
      </c>
      <c r="D83" s="19">
        <f>INDEX(위험률!$C:$C,B83+2)</f>
        <v>1.027E-2</v>
      </c>
      <c r="E83" s="19">
        <f>INDEX(위험률!$D:$D,B83+2)</f>
        <v>4.0474999999999997E-2</v>
      </c>
      <c r="F83" s="19">
        <f t="shared" si="21"/>
        <v>0.70055708024999996</v>
      </c>
      <c r="G83" s="20">
        <f t="shared" si="28"/>
        <v>22.487758585989958</v>
      </c>
      <c r="H83" s="20">
        <f t="shared" si="29"/>
        <v>3.6743276683555304</v>
      </c>
      <c r="I83" s="20">
        <f t="shared" si="22"/>
        <v>4.2997894429926209</v>
      </c>
      <c r="J83" s="20">
        <f t="shared" si="23"/>
        <v>0.70255269141556842</v>
      </c>
      <c r="K83" s="20">
        <f t="shared" si="24"/>
        <v>2.9752864406835497</v>
      </c>
      <c r="L83" s="21">
        <f t="shared" si="25"/>
        <v>1</v>
      </c>
      <c r="M83" s="20">
        <f>SUM(I83:$I$87)</f>
        <v>5.8399716095561978</v>
      </c>
      <c r="N83" s="20">
        <f>SUM(J83:$J$87)</f>
        <v>0.92642242873339908</v>
      </c>
      <c r="O83" s="22">
        <f>IF(I83&lt;=0,0,(IF(A83&lt;$B$4,SUMPRODUCT(L83:$L$86,K83:$K$86),0)+베타후*(INDEX($M$16:$M$87,MAX(A83,$B$5)+1)-$M$87)-IF(A83&lt;=$B$5,$E$13*(N83-INDEX($N$16:$N$87,$B$5+1)),0))/I83)</f>
        <v>0.9802426914020389</v>
      </c>
      <c r="P83" s="6">
        <f t="shared" si="26"/>
        <v>98024</v>
      </c>
      <c r="Q83" s="7">
        <v>98024</v>
      </c>
      <c r="R83" s="6">
        <f t="shared" si="27"/>
        <v>0</v>
      </c>
    </row>
    <row r="84" spans="1:18" x14ac:dyDescent="0.45">
      <c r="A84">
        <v>68</v>
      </c>
      <c r="B84">
        <f t="shared" si="20"/>
        <v>108</v>
      </c>
      <c r="C84" s="19">
        <f>INDEX(위험률!$B:$B,B84+2)</f>
        <v>0.78374999999999995</v>
      </c>
      <c r="D84" s="19">
        <f>INDEX(위험률!$C:$C,B84+2)</f>
        <v>1.0880000000000001E-2</v>
      </c>
      <c r="E84" s="19">
        <f>INDEX(위험률!$D:$D,B84+2)</f>
        <v>4.0474999999999997E-2</v>
      </c>
      <c r="F84" s="19">
        <f t="shared" si="21"/>
        <v>0.79036639999999991</v>
      </c>
      <c r="G84" s="20">
        <f t="shared" si="28"/>
        <v>6.7338000896219654</v>
      </c>
      <c r="H84" s="20">
        <f t="shared" si="29"/>
        <v>1.0036258611309146</v>
      </c>
      <c r="I84" s="20">
        <f t="shared" si="22"/>
        <v>1.2561380537755482</v>
      </c>
      <c r="J84" s="20">
        <f t="shared" si="23"/>
        <v>0.18721860155349082</v>
      </c>
      <c r="K84" s="20">
        <f t="shared" si="24"/>
        <v>0.98062714076386204</v>
      </c>
      <c r="L84" s="21">
        <f t="shared" si="25"/>
        <v>1</v>
      </c>
      <c r="M84" s="20">
        <f>SUM(I84:$I$87)</f>
        <v>1.5401821665635769</v>
      </c>
      <c r="N84" s="20">
        <f>SUM(J84:$J$87)</f>
        <v>0.22386973731783072</v>
      </c>
      <c r="O84" s="22">
        <f>IF(I84&lt;=0,0,(IF(A84&lt;$B$4,SUMPRODUCT(L84:$L$86,K84:$K$86),0)+베타후*(INDEX($M$16:$M$87,MAX(A84,$B$5)+1)-$M$87)-IF(A84&lt;=$B$5,$E$13*(N84-INDEX($N$16:$N$87,$B$5+1)),0))/I84)</f>
        <v>0.98337196474690813</v>
      </c>
      <c r="P84" s="6">
        <f t="shared" si="26"/>
        <v>98337</v>
      </c>
      <c r="Q84" s="7">
        <v>98337</v>
      </c>
      <c r="R84" s="6">
        <f t="shared" si="27"/>
        <v>0</v>
      </c>
    </row>
    <row r="85" spans="1:18" x14ac:dyDescent="0.45">
      <c r="A85">
        <v>69</v>
      </c>
      <c r="B85">
        <f t="shared" si="20"/>
        <v>109</v>
      </c>
      <c r="C85" s="19">
        <f>INDEX(위험률!$B:$B,B85+2)</f>
        <v>0.88529999999999998</v>
      </c>
      <c r="D85" s="19">
        <f>INDEX(위험률!$C:$C,B85+2)</f>
        <v>1.1528E-2</v>
      </c>
      <c r="E85" s="19">
        <f>INDEX(위험률!$D:$D,B85+2)</f>
        <v>4.0474999999999997E-2</v>
      </c>
      <c r="F85" s="19">
        <f t="shared" si="21"/>
        <v>0.89172513079999993</v>
      </c>
      <c r="G85" s="20">
        <f t="shared" si="28"/>
        <v>1.4116307544677758</v>
      </c>
      <c r="H85" s="20">
        <f t="shared" si="29"/>
        <v>0.18582498140659595</v>
      </c>
      <c r="I85" s="20">
        <f t="shared" si="22"/>
        <v>0.25690609005849935</v>
      </c>
      <c r="J85" s="20">
        <f t="shared" si="23"/>
        <v>3.3818737128861333E-2</v>
      </c>
      <c r="K85" s="20">
        <f t="shared" si="24"/>
        <v>0.2262785947596872</v>
      </c>
      <c r="L85" s="21">
        <f t="shared" si="25"/>
        <v>1</v>
      </c>
      <c r="M85" s="20">
        <f>SUM(I85:$I$87)</f>
        <v>0.2840441127880286</v>
      </c>
      <c r="N85" s="20">
        <f>SUM(J85:$J$87)</f>
        <v>3.6651135764339905E-2</v>
      </c>
      <c r="O85" s="22">
        <f>IF(I85&lt;=0,0,(IF(A85&lt;$B$4,SUMPRODUCT(L85:$L$86,K85:$K$86),0)+베타후*(INDEX($M$16:$M$87,MAX(A85,$B$5)+1)-$M$87)-IF(A85&lt;=$B$5,$E$13*(N85-INDEX($N$16:$N$87,$B$5+1)),0))/I85)</f>
        <v>0.98622678450046464</v>
      </c>
      <c r="P85" s="6">
        <f t="shared" si="26"/>
        <v>98623</v>
      </c>
      <c r="Q85" s="7">
        <v>98623</v>
      </c>
      <c r="R85" s="6">
        <f t="shared" si="27"/>
        <v>0</v>
      </c>
    </row>
    <row r="86" spans="1:18" x14ac:dyDescent="0.45">
      <c r="A86">
        <v>70</v>
      </c>
      <c r="B86">
        <f t="shared" si="20"/>
        <v>110</v>
      </c>
      <c r="C86" s="19">
        <f>INDEX(위험률!$B:$B,B86+2)</f>
        <v>1</v>
      </c>
      <c r="D86" s="19">
        <f>INDEX(위험률!$C:$C,B86+2)</f>
        <v>1.1528E-2</v>
      </c>
      <c r="E86" s="19">
        <f>INDEX(위험률!$D:$D,B86+2)</f>
        <v>4.0474999999999997E-2</v>
      </c>
      <c r="F86" s="19">
        <f t="shared" si="21"/>
        <v>1</v>
      </c>
      <c r="G86" s="20">
        <f t="shared" si="28"/>
        <v>0.15284413529869584</v>
      </c>
      <c r="H86" s="20">
        <f t="shared" si="29"/>
        <v>1.5952360441863277E-2</v>
      </c>
      <c r="I86" s="20">
        <f t="shared" si="22"/>
        <v>2.7138022729529233E-2</v>
      </c>
      <c r="J86" s="20">
        <f t="shared" si="23"/>
        <v>2.8323986354785737E-3</v>
      </c>
      <c r="K86" s="20">
        <f t="shared" si="24"/>
        <v>2.6805028244505348E-2</v>
      </c>
      <c r="L86" s="21">
        <f t="shared" si="25"/>
        <v>1</v>
      </c>
      <c r="M86" s="20">
        <f>SUM(I86:$I$87)</f>
        <v>2.7138022729529233E-2</v>
      </c>
      <c r="N86" s="20">
        <f>SUM(J86:$J$87)</f>
        <v>2.8323986354785737E-3</v>
      </c>
      <c r="O86" s="22">
        <f>IF(I86&lt;=0,0,(IF(A86&lt;$B$4,SUMPRODUCT(L86:$L$86,K86:$K$86),0)+베타후*(INDEX($M$16:$M$87,MAX(A86,$B$5)+1)-$M$87)-IF(A86&lt;=$B$5,$E$13*(N86-INDEX($N$16:$N$87,$B$5+1)),0))/I86)</f>
        <v>0.98872959664959126</v>
      </c>
      <c r="P86" s="6">
        <f t="shared" si="26"/>
        <v>98873</v>
      </c>
      <c r="Q86" s="7">
        <v>98873</v>
      </c>
      <c r="R86" s="6">
        <f t="shared" si="27"/>
        <v>0</v>
      </c>
    </row>
    <row r="87" spans="1:18" x14ac:dyDescent="0.45">
      <c r="A87">
        <v>71</v>
      </c>
      <c r="B87">
        <f t="shared" si="20"/>
        <v>111</v>
      </c>
      <c r="C87" s="19">
        <f>INDEX(위험률!$B:$B,B87+2)</f>
        <v>0</v>
      </c>
      <c r="D87" s="19">
        <f>INDEX(위험률!$C:$C,B87+2)</f>
        <v>0</v>
      </c>
      <c r="E87" s="19">
        <f>INDEX(위험률!$D:$D,B87+2)</f>
        <v>0</v>
      </c>
      <c r="F87" s="19">
        <f t="shared" si="21"/>
        <v>0</v>
      </c>
      <c r="G87" s="20">
        <f t="shared" si="28"/>
        <v>0</v>
      </c>
      <c r="H87" s="20">
        <f t="shared" si="29"/>
        <v>0</v>
      </c>
      <c r="I87" s="20">
        <f t="shared" si="22"/>
        <v>0</v>
      </c>
      <c r="J87" s="20">
        <f t="shared" si="23"/>
        <v>0</v>
      </c>
      <c r="K87" s="20">
        <f t="shared" si="24"/>
        <v>0</v>
      </c>
      <c r="L87" s="21">
        <f t="shared" si="25"/>
        <v>1</v>
      </c>
      <c r="M87" s="20">
        <f>SUM(I87:$I$87)</f>
        <v>0</v>
      </c>
      <c r="N87" s="20">
        <f>SUM(J87:$J$87)</f>
        <v>0</v>
      </c>
      <c r="O87" s="22">
        <f>IF(I87&lt;=0,0,(IF(A87&lt;$B$4,SUMPRODUCT(L$86:$L87,K$86:$K87),0)+베타후*(INDEX($M$16:$M$87,MAX(A87,$B$5)+1)-$M$87)-IF(A87&lt;=$B$5,$E$13*(N87-INDEX($N$16:$N$87,$B$5+1)),0))/I87)</f>
        <v>0</v>
      </c>
      <c r="P87" s="6">
        <f t="shared" si="26"/>
        <v>0</v>
      </c>
      <c r="Q87" s="7">
        <v>0</v>
      </c>
      <c r="R87" s="6">
        <f t="shared" si="27"/>
        <v>0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7"/>
  <sheetViews>
    <sheetView workbookViewId="0">
      <pane xSplit="2" ySplit="15" topLeftCell="C16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5" customWidth="1"/>
    <col min="2" max="2" width="6" customWidth="1"/>
    <col min="3" max="3" width="11" customWidth="1"/>
    <col min="4" max="4" width="34" customWidth="1"/>
    <col min="5" max="6" width="16" customWidth="1"/>
    <col min="7" max="11" width="12" customWidth="1"/>
    <col min="12" max="12" width="6" customWidth="1"/>
    <col min="13" max="14" width="13" customWidth="1"/>
    <col min="15" max="15" width="12" customWidth="1"/>
    <col min="16" max="17" width="11" customWidth="1"/>
    <col min="18" max="18" width="7" customWidth="1"/>
  </cols>
  <sheetData>
    <row r="1" spans="1:18" x14ac:dyDescent="0.45">
      <c r="A1" s="14" t="s">
        <v>17</v>
      </c>
      <c r="B1" t="s">
        <v>119</v>
      </c>
      <c r="D1" s="11" t="s">
        <v>33</v>
      </c>
      <c r="E1" s="11" t="s">
        <v>76</v>
      </c>
      <c r="F1" s="11" t="s">
        <v>77</v>
      </c>
      <c r="G1" s="11" t="s">
        <v>27</v>
      </c>
    </row>
    <row r="2" spans="1:18" x14ac:dyDescent="0.45">
      <c r="A2" s="14" t="s">
        <v>78</v>
      </c>
      <c r="B2" s="12">
        <v>50000000</v>
      </c>
      <c r="D2" t="s">
        <v>79</v>
      </c>
      <c r="E2" s="15">
        <f>SUMPRODUCT($L$16:$L$76,$K$16:$K$76)</f>
        <v>21792.989151600847</v>
      </c>
      <c r="F2" s="16">
        <v>21792.98915160085</v>
      </c>
      <c r="G2" s="17">
        <f>E2-F2</f>
        <v>0</v>
      </c>
    </row>
    <row r="3" spans="1:18" x14ac:dyDescent="0.45">
      <c r="A3" s="14" t="s">
        <v>80</v>
      </c>
      <c r="B3" s="12">
        <v>100</v>
      </c>
      <c r="D3" t="s">
        <v>81</v>
      </c>
      <c r="E3" s="15">
        <f>납입주기*(($N$16-INDEX($N$16:$N$77,B5+1))-(납입주기-1)/(2*납입주기)*($J$16-INDEX($J$16:$J$77,B5+1)))</f>
        <v>18044821.636461876</v>
      </c>
      <c r="F3" s="16">
        <v>18044821.636461891</v>
      </c>
      <c r="G3" s="17">
        <f>E3-F3</f>
        <v>0</v>
      </c>
    </row>
    <row r="4" spans="1:18" x14ac:dyDescent="0.45">
      <c r="A4" s="14" t="s">
        <v>82</v>
      </c>
      <c r="B4">
        <f>MIN(보험기간,B3+1-가입나이)</f>
        <v>61</v>
      </c>
      <c r="D4" t="s">
        <v>83</v>
      </c>
      <c r="E4" s="15">
        <f>E2/E3</f>
        <v>1.2077143011247791E-3</v>
      </c>
      <c r="F4" s="16">
        <v>1.207714301124778E-3</v>
      </c>
      <c r="G4" s="17">
        <f>E4-F4</f>
        <v>0</v>
      </c>
    </row>
    <row r="5" spans="1:18" x14ac:dyDescent="0.45">
      <c r="A5" s="14" t="s">
        <v>84</v>
      </c>
      <c r="B5">
        <f>MIN(납입기간,B4)</f>
        <v>20</v>
      </c>
      <c r="D5" t="s">
        <v>85</v>
      </c>
      <c r="E5" s="15">
        <f>E2/($N$16-INDEX($N$16:$N$77,MIN(B4,20)+1))</f>
        <v>1.428634073011247E-2</v>
      </c>
      <c r="F5" s="16">
        <v>1.428634073011247E-2</v>
      </c>
      <c r="G5" s="17">
        <f>E5-F5</f>
        <v>0</v>
      </c>
    </row>
    <row r="6" spans="1:18" x14ac:dyDescent="0.45">
      <c r="A6" s="14" t="s">
        <v>86</v>
      </c>
      <c r="B6" s="12">
        <v>3</v>
      </c>
      <c r="D6" t="s">
        <v>87</v>
      </c>
      <c r="E6" s="15">
        <f>알파P*MIN(B4,20)/20</f>
        <v>1</v>
      </c>
      <c r="F6" s="15"/>
      <c r="G6" s="17"/>
    </row>
    <row r="7" spans="1:18" x14ac:dyDescent="0.45">
      <c r="A7" s="14" t="s">
        <v>88</v>
      </c>
      <c r="B7">
        <f>MAX(0,1-B6/12)</f>
        <v>0.75</v>
      </c>
      <c r="D7" t="s">
        <v>89</v>
      </c>
      <c r="E7" s="15">
        <f>(알파S+E6*E5)*$J$16/E3</f>
        <v>1.3458897638000923E-4</v>
      </c>
      <c r="F7" s="15"/>
      <c r="G7" s="17"/>
    </row>
    <row r="8" spans="1:18" x14ac:dyDescent="0.45">
      <c r="A8" s="14" t="s">
        <v>90</v>
      </c>
      <c r="B8" t="s">
        <v>120</v>
      </c>
      <c r="D8" t="s">
        <v>92</v>
      </c>
      <c r="E8" s="15">
        <f>베타S/납입주기</f>
        <v>1.25E-4</v>
      </c>
      <c r="F8" s="15"/>
      <c r="G8" s="17"/>
    </row>
    <row r="9" spans="1:18" x14ac:dyDescent="0.45">
      <c r="A9" s="14" t="s">
        <v>93</v>
      </c>
      <c r="B9" t="s">
        <v>121</v>
      </c>
      <c r="D9" t="s">
        <v>95</v>
      </c>
      <c r="E9" s="15">
        <f>베타후*(INDEX($M$16:$M$77,B5+1)-$M$77)/E3</f>
        <v>4.3579504022804224E-5</v>
      </c>
      <c r="F9" s="15"/>
      <c r="G9" s="17"/>
    </row>
    <row r="10" spans="1:18" x14ac:dyDescent="0.45">
      <c r="A10" s="14" t="s">
        <v>96</v>
      </c>
      <c r="B10" t="s">
        <v>122</v>
      </c>
      <c r="D10" t="s">
        <v>98</v>
      </c>
      <c r="E10" s="15">
        <f>(E4+E7+E8+E9)/(1-베타G-감마)</f>
        <v>1.6246051414275189E-3</v>
      </c>
      <c r="F10" s="16">
        <v>1.624605141427518E-3</v>
      </c>
      <c r="G10" s="17">
        <f>E10-F10</f>
        <v>0</v>
      </c>
    </row>
    <row r="11" spans="1:18" x14ac:dyDescent="0.45">
      <c r="D11" t="s">
        <v>99</v>
      </c>
      <c r="E11" s="6">
        <f>ROUND(E10*100000,0)</f>
        <v>162</v>
      </c>
      <c r="F11" s="7">
        <v>162</v>
      </c>
      <c r="G11" s="17">
        <f>E11-F11</f>
        <v>0</v>
      </c>
    </row>
    <row r="12" spans="1:18" x14ac:dyDescent="0.45">
      <c r="D12" t="s">
        <v>100</v>
      </c>
      <c r="E12" s="6">
        <f>E11*B2/100000</f>
        <v>81000</v>
      </c>
      <c r="F12" s="7">
        <v>81000</v>
      </c>
      <c r="G12" s="17">
        <f>E12-F12</f>
        <v>0</v>
      </c>
    </row>
    <row r="13" spans="1:18" x14ac:dyDescent="0.45">
      <c r="D13" t="s">
        <v>101</v>
      </c>
      <c r="E13" s="15">
        <f>(E2+베타후*(INDEX($M$16:$M$77,B5+1)-$M$77))/($N$16-INDEX($N$16:$N$77,B5+1))</f>
        <v>1.4801853084929543E-2</v>
      </c>
      <c r="F13" s="16">
        <v>1.4801853084929539E-2</v>
      </c>
      <c r="G13" s="17">
        <f>E13-F13</f>
        <v>0</v>
      </c>
    </row>
    <row r="15" spans="1:18" ht="34" x14ac:dyDescent="0.45">
      <c r="A15" s="2" t="s">
        <v>102</v>
      </c>
      <c r="B15" s="2" t="s">
        <v>103</v>
      </c>
      <c r="C15" s="2" t="s">
        <v>104</v>
      </c>
      <c r="D15" s="2" t="s">
        <v>123</v>
      </c>
      <c r="E15" s="2" t="s">
        <v>124</v>
      </c>
      <c r="F15" s="2" t="s">
        <v>107</v>
      </c>
      <c r="G15" s="2" t="s">
        <v>108</v>
      </c>
      <c r="H15" s="2" t="s">
        <v>109</v>
      </c>
      <c r="I15" s="2" t="s">
        <v>110</v>
      </c>
      <c r="J15" s="2" t="s">
        <v>111</v>
      </c>
      <c r="K15" s="2" t="s">
        <v>112</v>
      </c>
      <c r="L15" s="2" t="s">
        <v>113</v>
      </c>
      <c r="M15" s="2" t="s">
        <v>114</v>
      </c>
      <c r="N15" s="2" t="s">
        <v>115</v>
      </c>
      <c r="O15" s="2" t="s">
        <v>116</v>
      </c>
      <c r="P15" s="2" t="s">
        <v>117</v>
      </c>
      <c r="Q15" s="18" t="s">
        <v>118</v>
      </c>
      <c r="R15" s="2" t="s">
        <v>27</v>
      </c>
    </row>
    <row r="16" spans="1:18" x14ac:dyDescent="0.45">
      <c r="A16">
        <v>0</v>
      </c>
      <c r="B16">
        <f t="shared" ref="B16:B47" si="0">가입나이+A16</f>
        <v>40</v>
      </c>
      <c r="C16" s="19">
        <f>INDEX(위험률!$B:$B,B16+2)</f>
        <v>8.5999999999999998E-4</v>
      </c>
      <c r="D16" s="19">
        <f>INDEX(위험률!$D:$D,B16+2)</f>
        <v>2.5699999999999998E-3</v>
      </c>
      <c r="E16" s="19">
        <f>INDEX(위험률!$C:$C,B16+2)</f>
        <v>1.47E-4</v>
      </c>
      <c r="F16" s="19">
        <f t="shared" ref="F16:F47" si="1">MIN(1,C16+D16-C16*D16/2)</f>
        <v>3.4288948999999999E-3</v>
      </c>
      <c r="G16" s="20">
        <v>100000</v>
      </c>
      <c r="H16" s="20">
        <v>100000</v>
      </c>
      <c r="I16" s="20">
        <f t="shared" ref="I16:I47" si="2">G16*현가율^A16</f>
        <v>100000</v>
      </c>
      <c r="J16" s="20">
        <f t="shared" ref="J16:J47" si="3">H16*현가율^A16</f>
        <v>100000</v>
      </c>
      <c r="K16" s="20">
        <f t="shared" ref="K16:K47" si="4">G16*D16*현가율^(A16+0.5)</f>
        <v>253.84650633894455</v>
      </c>
      <c r="L16" s="21">
        <f t="shared" ref="L16:L47" si="5">IF(A16=0,$B$7,1)</f>
        <v>0.75</v>
      </c>
      <c r="M16" s="20">
        <f>SUM(I16:$I$77)</f>
        <v>2314987.0564684272</v>
      </c>
      <c r="N16" s="20">
        <f>SUM(J16:$J$77)</f>
        <v>2300458.0184516208</v>
      </c>
      <c r="O16" s="22">
        <f>IF(I16&lt;=0,0,(IF(A16&lt;$B$4,SUMPRODUCT(L16:$L$76,K16:$K$76),0)+베타후*(INDEX($M$16:$M$77,MAX(A16,$B$5)+1)-$M$77)-IF(A16&lt;=$B$5,$E$13*(N16-INDEX($N$16:$N$77,$B$5+1)),0))/I16)</f>
        <v>0</v>
      </c>
      <c r="P16" s="6">
        <f t="shared" ref="P16:P47" si="6">ROUND(O16*100000,0)</f>
        <v>0</v>
      </c>
      <c r="Q16" s="7">
        <v>0</v>
      </c>
      <c r="R16" s="6">
        <f t="shared" ref="R16:R47" si="7">P16-Q16</f>
        <v>0</v>
      </c>
    </row>
    <row r="17" spans="1:18" x14ac:dyDescent="0.45">
      <c r="A17">
        <v>1</v>
      </c>
      <c r="B17">
        <f t="shared" si="0"/>
        <v>41</v>
      </c>
      <c r="C17" s="19">
        <f>INDEX(위험률!$B:$B,B17+2)</f>
        <v>9.3999999999999997E-4</v>
      </c>
      <c r="D17" s="19">
        <f>INDEX(위험률!$D:$D,B17+2)</f>
        <v>2.702E-3</v>
      </c>
      <c r="E17" s="19">
        <f>INDEX(위험률!$C:$C,B17+2)</f>
        <v>1.5899999999999999E-4</v>
      </c>
      <c r="F17" s="19">
        <f t="shared" si="1"/>
        <v>3.6407300599999998E-3</v>
      </c>
      <c r="G17" s="20">
        <f t="shared" ref="G17:G48" si="8">G16*MAX(0,1-F16)</f>
        <v>99657.110509999999</v>
      </c>
      <c r="H17" s="20">
        <f t="shared" ref="H17:H48" si="9">H16*MAX(0,1-F16-E16+F16*E16/2)</f>
        <v>99642.435712377526</v>
      </c>
      <c r="I17" s="20">
        <f t="shared" si="2"/>
        <v>97226.449278048793</v>
      </c>
      <c r="J17" s="20">
        <f t="shared" si="3"/>
        <v>97212.132402319548</v>
      </c>
      <c r="K17" s="20">
        <f t="shared" si="4"/>
        <v>259.48235901157125</v>
      </c>
      <c r="L17" s="21">
        <f t="shared" si="5"/>
        <v>1</v>
      </c>
      <c r="M17" s="20">
        <f>SUM(I17:$I$77)</f>
        <v>2214987.0564684276</v>
      </c>
      <c r="N17" s="20">
        <f>SUM(J17:$J$77)</f>
        <v>2200458.0184516208</v>
      </c>
      <c r="O17" s="22">
        <f>IF(I17&lt;=0,0,(IF(A17&lt;$B$4,SUMPRODUCT(L17:$L$76,K17:$K$76),0)+베타후*(INDEX($M$16:$M$77,MAX(A17,$B$5)+1)-$M$77)-IF(A17&lt;=$B$5,$E$13*(N17-INDEX($N$16:$N$77,$B$5+1)),0))/I17)</f>
        <v>1.3265941915148682E-2</v>
      </c>
      <c r="P17" s="6">
        <f t="shared" si="6"/>
        <v>1327</v>
      </c>
      <c r="Q17" s="7">
        <v>1327</v>
      </c>
      <c r="R17" s="6">
        <f t="shared" si="7"/>
        <v>0</v>
      </c>
    </row>
    <row r="18" spans="1:18" x14ac:dyDescent="0.45">
      <c r="A18">
        <v>2</v>
      </c>
      <c r="B18">
        <f t="shared" si="0"/>
        <v>42</v>
      </c>
      <c r="C18" s="19">
        <f>INDEX(위험률!$B:$B,B18+2)</f>
        <v>1.0499999999999999E-3</v>
      </c>
      <c r="D18" s="19">
        <f>INDEX(위험률!$D:$D,B18+2)</f>
        <v>2.8219999999999999E-3</v>
      </c>
      <c r="E18" s="19">
        <f>INDEX(위험률!$C:$C,B18+2)</f>
        <v>1.7100000000000001E-4</v>
      </c>
      <c r="F18" s="19">
        <f t="shared" si="1"/>
        <v>3.8705184499999994E-3</v>
      </c>
      <c r="G18" s="20">
        <f t="shared" si="8"/>
        <v>99294.285872073495</v>
      </c>
      <c r="H18" s="20">
        <f t="shared" si="9"/>
        <v>99263.850194460858</v>
      </c>
      <c r="I18" s="20">
        <f t="shared" si="2"/>
        <v>94509.730752717194</v>
      </c>
      <c r="J18" s="20">
        <f t="shared" si="3"/>
        <v>94480.761636607611</v>
      </c>
      <c r="K18" s="20">
        <f t="shared" si="4"/>
        <v>263.43386434154803</v>
      </c>
      <c r="L18" s="21">
        <f t="shared" si="5"/>
        <v>1</v>
      </c>
      <c r="M18" s="20">
        <f>SUM(I18:$I$77)</f>
        <v>2117760.607190378</v>
      </c>
      <c r="N18" s="20">
        <f>SUM(J18:$J$77)</f>
        <v>2103245.8860493009</v>
      </c>
      <c r="O18" s="22">
        <f>IF(I18&lt;=0,0,(IF(A18&lt;$B$4,SUMPRODUCT(L18:$L$76,K18:$K$76),0)+베타후*(INDEX($M$16:$M$77,MAX(A18,$B$5)+1)-$M$77)-IF(A18&lt;=$B$5,$E$13*(N18-INDEX($N$16:$N$77,$B$5+1)),0))/I18)</f>
        <v>2.6126809926903142E-2</v>
      </c>
      <c r="P18" s="6">
        <f t="shared" si="6"/>
        <v>2613</v>
      </c>
      <c r="Q18" s="7">
        <v>2613</v>
      </c>
      <c r="R18" s="6">
        <f t="shared" si="7"/>
        <v>0</v>
      </c>
    </row>
    <row r="19" spans="1:18" x14ac:dyDescent="0.45">
      <c r="A19">
        <v>3</v>
      </c>
      <c r="B19">
        <f t="shared" si="0"/>
        <v>43</v>
      </c>
      <c r="C19" s="19">
        <f>INDEX(위험률!$B:$B,B19+2)</f>
        <v>1.1800000000000001E-3</v>
      </c>
      <c r="D19" s="19">
        <f>INDEX(위험률!$D:$D,B19+2)</f>
        <v>2.9229999999999998E-3</v>
      </c>
      <c r="E19" s="19">
        <f>INDEX(위험률!$C:$C,B19+2)</f>
        <v>1.8599999999999999E-4</v>
      </c>
      <c r="F19" s="19">
        <f t="shared" si="1"/>
        <v>4.1012754299999997E-3</v>
      </c>
      <c r="G19" s="20">
        <f t="shared" si="8"/>
        <v>98909.96550662606</v>
      </c>
      <c r="H19" s="20">
        <f t="shared" si="9"/>
        <v>98862.706361801102</v>
      </c>
      <c r="I19" s="20">
        <f t="shared" si="2"/>
        <v>91847.735703545652</v>
      </c>
      <c r="J19" s="20">
        <f t="shared" si="3"/>
        <v>91803.850889500623</v>
      </c>
      <c r="K19" s="20">
        <f t="shared" si="4"/>
        <v>265.17668484457141</v>
      </c>
      <c r="L19" s="21">
        <f t="shared" si="5"/>
        <v>1</v>
      </c>
      <c r="M19" s="20">
        <f>SUM(I19:$I$77)</f>
        <v>2023250.8764376612</v>
      </c>
      <c r="N19" s="20">
        <f>SUM(J19:$J$77)</f>
        <v>2008765.1244126938</v>
      </c>
      <c r="O19" s="22">
        <f>IF(I19&lt;=0,0,(IF(A19&lt;$B$4,SUMPRODUCT(L19:$L$76,K19:$K$76),0)+베타후*(INDEX($M$16:$M$77,MAX(A19,$B$5)+1)-$M$77)-IF(A19&lt;=$B$5,$E$13*(N19-INDEX($N$16:$N$77,$B$5+1)),0))/I19)</f>
        <v>3.9242058966029135E-2</v>
      </c>
      <c r="P19" s="6">
        <f t="shared" si="6"/>
        <v>3924</v>
      </c>
      <c r="Q19" s="7">
        <v>3924</v>
      </c>
      <c r="R19" s="6">
        <f t="shared" si="7"/>
        <v>0</v>
      </c>
    </row>
    <row r="20" spans="1:18" x14ac:dyDescent="0.45">
      <c r="A20">
        <v>4</v>
      </c>
      <c r="B20">
        <f t="shared" si="0"/>
        <v>44</v>
      </c>
      <c r="C20" s="19">
        <f>INDEX(위험률!$B:$B,B20+2)</f>
        <v>1.34E-3</v>
      </c>
      <c r="D20" s="19">
        <f>INDEX(위험률!$D:$D,B20+2)</f>
        <v>3.0079999999999998E-3</v>
      </c>
      <c r="E20" s="19">
        <f>INDEX(위험률!$C:$C,B20+2)</f>
        <v>2.04E-4</v>
      </c>
      <c r="F20" s="19">
        <f t="shared" si="1"/>
        <v>4.3459846399999998E-3</v>
      </c>
      <c r="G20" s="20">
        <f t="shared" si="8"/>
        <v>98504.308495311576</v>
      </c>
      <c r="H20" s="20">
        <f t="shared" si="9"/>
        <v>98438.892417949377</v>
      </c>
      <c r="I20" s="20">
        <f t="shared" si="2"/>
        <v>89240.041796881516</v>
      </c>
      <c r="J20" s="20">
        <f t="shared" si="3"/>
        <v>89180.778059414952</v>
      </c>
      <c r="K20" s="20">
        <f t="shared" si="4"/>
        <v>265.14025171099109</v>
      </c>
      <c r="L20" s="21">
        <f t="shared" si="5"/>
        <v>1</v>
      </c>
      <c r="M20" s="20">
        <f>SUM(I20:$I$77)</f>
        <v>1931403.1407341156</v>
      </c>
      <c r="N20" s="20">
        <f>SUM(J20:$J$77)</f>
        <v>1916961.2735231931</v>
      </c>
      <c r="O20" s="22">
        <f>IF(I20&lt;=0,0,(IF(A20&lt;$B$4,SUMPRODUCT(L20:$L$76,K20:$K$76),0)+베타후*(INDEX($M$16:$M$77,MAX(A20,$B$5)+1)-$M$77)-IF(A20&lt;=$B$5,$E$13*(N20-INDEX($N$16:$N$77,$B$5+1)),0))/I20)</f>
        <v>5.2644357784148436E-2</v>
      </c>
      <c r="P20" s="6">
        <f t="shared" si="6"/>
        <v>5264</v>
      </c>
      <c r="Q20" s="7">
        <v>5264</v>
      </c>
      <c r="R20" s="6">
        <f t="shared" si="7"/>
        <v>0</v>
      </c>
    </row>
    <row r="21" spans="1:18" x14ac:dyDescent="0.45">
      <c r="A21">
        <v>5</v>
      </c>
      <c r="B21">
        <f t="shared" si="0"/>
        <v>45</v>
      </c>
      <c r="C21" s="19">
        <f>INDEX(위험률!$B:$B,B21+2)</f>
        <v>1.5200000000000001E-3</v>
      </c>
      <c r="D21" s="19">
        <f>INDEX(위험률!$D:$D,B21+2)</f>
        <v>3.091E-3</v>
      </c>
      <c r="E21" s="19">
        <f>INDEX(위험률!$C:$C,B21+2)</f>
        <v>2.2900000000000001E-4</v>
      </c>
      <c r="F21" s="19">
        <f t="shared" si="1"/>
        <v>4.6086508400000007E-3</v>
      </c>
      <c r="G21" s="20">
        <f t="shared" si="8"/>
        <v>98076.210283617125</v>
      </c>
      <c r="H21" s="20">
        <f t="shared" si="9"/>
        <v>97991.040606488357</v>
      </c>
      <c r="I21" s="20">
        <f t="shared" si="2"/>
        <v>86685.078971667623</v>
      </c>
      <c r="J21" s="20">
        <f t="shared" si="3"/>
        <v>86609.801387363041</v>
      </c>
      <c r="K21" s="20">
        <f t="shared" si="4"/>
        <v>264.65580331069754</v>
      </c>
      <c r="L21" s="21">
        <f t="shared" si="5"/>
        <v>1</v>
      </c>
      <c r="M21" s="20">
        <f>SUM(I21:$I$77)</f>
        <v>1842163.0989372344</v>
      </c>
      <c r="N21" s="20">
        <f>SUM(J21:$J$77)</f>
        <v>1827780.495463778</v>
      </c>
      <c r="O21" s="22">
        <f>IF(I21&lt;=0,0,(IF(A21&lt;$B$4,SUMPRODUCT(L21:$L$76,K21:$K$76),0)+베타후*(INDEX($M$16:$M$77,MAX(A21,$B$5)+1)-$M$77)-IF(A21&lt;=$B$5,$E$13*(N21-INDEX($N$16:$N$77,$B$5+1)),0))/I21)</f>
        <v>6.6365345459647784E-2</v>
      </c>
      <c r="P21" s="6">
        <f t="shared" si="6"/>
        <v>6637</v>
      </c>
      <c r="Q21" s="7">
        <v>6637</v>
      </c>
      <c r="R21" s="6">
        <f t="shared" si="7"/>
        <v>0</v>
      </c>
    </row>
    <row r="22" spans="1:18" x14ac:dyDescent="0.45">
      <c r="A22">
        <v>6</v>
      </c>
      <c r="B22">
        <f t="shared" si="0"/>
        <v>46</v>
      </c>
      <c r="C22" s="19">
        <f>INDEX(위험률!$B:$B,B22+2)</f>
        <v>1.6999999999999999E-3</v>
      </c>
      <c r="D22" s="19">
        <f>INDEX(위험률!$D:$D,B22+2)</f>
        <v>3.1960000000000001E-3</v>
      </c>
      <c r="E22" s="19">
        <f>INDEX(위험률!$C:$C,B22+2)</f>
        <v>2.5900000000000001E-4</v>
      </c>
      <c r="F22" s="19">
        <f t="shared" si="1"/>
        <v>4.8932834000000001E-3</v>
      </c>
      <c r="G22" s="20">
        <f t="shared" si="8"/>
        <v>97624.211274709523</v>
      </c>
      <c r="H22" s="20">
        <f t="shared" si="9"/>
        <v>97517.045875529191</v>
      </c>
      <c r="I22" s="20">
        <f t="shared" si="2"/>
        <v>84181.051424048186</v>
      </c>
      <c r="J22" s="20">
        <f t="shared" si="3"/>
        <v>84088.643036195586</v>
      </c>
      <c r="K22" s="20">
        <f t="shared" si="4"/>
        <v>265.7413786356887</v>
      </c>
      <c r="L22" s="21">
        <f t="shared" si="5"/>
        <v>1</v>
      </c>
      <c r="M22" s="20">
        <f>SUM(I22:$I$77)</f>
        <v>1755478.0199655662</v>
      </c>
      <c r="N22" s="20">
        <f>SUM(J22:$J$77)</f>
        <v>1741170.6940764152</v>
      </c>
      <c r="O22" s="22">
        <f>IF(I22&lt;=0,0,(IF(A22&lt;$B$4,SUMPRODUCT(L22:$L$76,K22:$K$76),0)+베타후*(INDEX($M$16:$M$77,MAX(A22,$B$5)+1)-$M$77)-IF(A22&lt;=$B$5,$E$13*(N22-INDEX($N$16:$N$77,$B$5+1)),0))/I22)</f>
        <v>8.0424452417298786E-2</v>
      </c>
      <c r="P22" s="6">
        <f t="shared" si="6"/>
        <v>8042</v>
      </c>
      <c r="Q22" s="7">
        <v>8042</v>
      </c>
      <c r="R22" s="6">
        <f t="shared" si="7"/>
        <v>0</v>
      </c>
    </row>
    <row r="23" spans="1:18" x14ac:dyDescent="0.45">
      <c r="A23">
        <v>7</v>
      </c>
      <c r="B23">
        <f t="shared" si="0"/>
        <v>47</v>
      </c>
      <c r="C23" s="19">
        <f>INDEX(위험률!$B:$B,B23+2)</f>
        <v>1.8799999999999999E-3</v>
      </c>
      <c r="D23" s="19">
        <f>INDEX(위험률!$D:$D,B23+2)</f>
        <v>3.3400000000000001E-3</v>
      </c>
      <c r="E23" s="19">
        <f>INDEX(위험률!$C:$C,B23+2)</f>
        <v>2.9399999999999999E-4</v>
      </c>
      <c r="F23" s="19">
        <f t="shared" si="1"/>
        <v>5.2168603999999995E-3</v>
      </c>
      <c r="G23" s="20">
        <f t="shared" si="8"/>
        <v>97146.508342240893</v>
      </c>
      <c r="H23" s="20">
        <f t="shared" si="9"/>
        <v>97014.672213468832</v>
      </c>
      <c r="I23" s="20">
        <f t="shared" si="2"/>
        <v>81725.980178068639</v>
      </c>
      <c r="J23" s="20">
        <f t="shared" si="3"/>
        <v>81615.071026204721</v>
      </c>
      <c r="K23" s="20">
        <f t="shared" si="4"/>
        <v>269.61538591983424</v>
      </c>
      <c r="L23" s="21">
        <f t="shared" si="5"/>
        <v>1</v>
      </c>
      <c r="M23" s="20">
        <f>SUM(I23:$I$77)</f>
        <v>1671296.9685415179</v>
      </c>
      <c r="N23" s="20">
        <f>SUM(J23:$J$77)</f>
        <v>1657082.0510402196</v>
      </c>
      <c r="O23" s="22">
        <f>IF(I23&lt;=0,0,(IF(A23&lt;$B$4,SUMPRODUCT(L23:$L$76,K23:$K$76),0)+베타후*(INDEX($M$16:$M$77,MAX(A23,$B$5)+1)-$M$77)-IF(A23&lt;=$B$5,$E$13*(N23-INDEX($N$16:$N$77,$B$5+1)),0))/I23)</f>
        <v>9.4818579226636238E-2</v>
      </c>
      <c r="P23" s="6">
        <f t="shared" si="6"/>
        <v>9482</v>
      </c>
      <c r="Q23" s="7">
        <v>9482</v>
      </c>
      <c r="R23" s="6">
        <f t="shared" si="7"/>
        <v>0</v>
      </c>
    </row>
    <row r="24" spans="1:18" x14ac:dyDescent="0.45">
      <c r="A24">
        <v>8</v>
      </c>
      <c r="B24">
        <f t="shared" si="0"/>
        <v>48</v>
      </c>
      <c r="C24" s="19">
        <f>INDEX(위험률!$B:$B,B24+2)</f>
        <v>2.0600000000000002E-3</v>
      </c>
      <c r="D24" s="19">
        <f>INDEX(위험률!$D:$D,B24+2)</f>
        <v>3.5239999999999998E-3</v>
      </c>
      <c r="E24" s="19">
        <f>INDEX(위험률!$C:$C,B24+2)</f>
        <v>3.2899999999999997E-4</v>
      </c>
      <c r="F24" s="19">
        <f t="shared" si="1"/>
        <v>5.58037028E-3</v>
      </c>
      <c r="G24" s="20">
        <f t="shared" si="8"/>
        <v>96639.708569871989</v>
      </c>
      <c r="H24" s="20">
        <f t="shared" si="9"/>
        <v>96480.11229661289</v>
      </c>
      <c r="I24" s="20">
        <f t="shared" si="2"/>
        <v>79316.709413099015</v>
      </c>
      <c r="J24" s="20">
        <f t="shared" si="3"/>
        <v>79185.721319107062</v>
      </c>
      <c r="K24" s="20">
        <f t="shared" si="4"/>
        <v>276.08235796011365</v>
      </c>
      <c r="L24" s="21">
        <f t="shared" si="5"/>
        <v>1</v>
      </c>
      <c r="M24" s="20">
        <f>SUM(I24:$I$77)</f>
        <v>1589570.9883634495</v>
      </c>
      <c r="N24" s="20">
        <f>SUM(J24:$J$77)</f>
        <v>1575466.9800140148</v>
      </c>
      <c r="O24" s="22">
        <f>IF(I24&lt;=0,0,(IF(A24&lt;$B$4,SUMPRODUCT(L24:$L$76,K24:$K$76),0)+베타후*(INDEX($M$16:$M$77,MAX(A24,$B$5)+1)-$M$77)-IF(A24&lt;=$B$5,$E$13*(N24-INDEX($N$16:$N$77,$B$5+1)),0))/I24)</f>
        <v>0.1095302653828968</v>
      </c>
      <c r="P24" s="6">
        <f t="shared" si="6"/>
        <v>10953</v>
      </c>
      <c r="Q24" s="7">
        <v>10953</v>
      </c>
      <c r="R24" s="6">
        <f t="shared" si="7"/>
        <v>0</v>
      </c>
    </row>
    <row r="25" spans="1:18" x14ac:dyDescent="0.45">
      <c r="A25">
        <v>9</v>
      </c>
      <c r="B25">
        <f t="shared" si="0"/>
        <v>49</v>
      </c>
      <c r="C25" s="19">
        <f>INDEX(위험률!$B:$B,B25+2)</f>
        <v>2.2499999999999998E-3</v>
      </c>
      <c r="D25" s="19">
        <f>INDEX(위험률!$D:$D,B25+2)</f>
        <v>3.741E-3</v>
      </c>
      <c r="E25" s="19">
        <f>INDEX(위험률!$C:$C,B25+2)</f>
        <v>3.6699999999999998E-4</v>
      </c>
      <c r="F25" s="19">
        <f t="shared" si="1"/>
        <v>5.9867913749999998E-3</v>
      </c>
      <c r="G25" s="20">
        <f t="shared" si="8"/>
        <v>96100.423212300811</v>
      </c>
      <c r="H25" s="20">
        <f t="shared" si="9"/>
        <v>95910.064154332809</v>
      </c>
      <c r="I25" s="20">
        <f t="shared" si="2"/>
        <v>76950.334444080741</v>
      </c>
      <c r="J25" s="20">
        <f t="shared" si="3"/>
        <v>76797.908547446161</v>
      </c>
      <c r="K25" s="20">
        <f t="shared" si="4"/>
        <v>284.33890540416337</v>
      </c>
      <c r="L25" s="21">
        <f t="shared" si="5"/>
        <v>1</v>
      </c>
      <c r="M25" s="20">
        <f>SUM(I25:$I$77)</f>
        <v>1510254.2789503508</v>
      </c>
      <c r="N25" s="20">
        <f>SUM(J25:$J$77)</f>
        <v>1496281.2586949077</v>
      </c>
      <c r="O25" s="22">
        <f>IF(I25&lt;=0,0,(IF(A25&lt;$B$4,SUMPRODUCT(L25:$L$76,K25:$K$76),0)+베타후*(INDEX($M$16:$M$77,MAX(A25,$B$5)+1)-$M$77)-IF(A25&lt;=$B$5,$E$13*(N25-INDEX($N$16:$N$77,$B$5+1)),0))/I25)</f>
        <v>0.12454258134132806</v>
      </c>
      <c r="P25" s="6">
        <f t="shared" si="6"/>
        <v>12454</v>
      </c>
      <c r="Q25" s="7">
        <v>12454</v>
      </c>
      <c r="R25" s="6">
        <f t="shared" si="7"/>
        <v>0</v>
      </c>
    </row>
    <row r="26" spans="1:18" x14ac:dyDescent="0.45">
      <c r="A26">
        <v>10</v>
      </c>
      <c r="B26">
        <f t="shared" si="0"/>
        <v>50</v>
      </c>
      <c r="C26" s="19">
        <f>INDEX(위험률!$B:$B,B26+2)</f>
        <v>2.4399999999999999E-3</v>
      </c>
      <c r="D26" s="19">
        <f>INDEX(위험률!$D:$D,B26+2)</f>
        <v>3.9880000000000002E-3</v>
      </c>
      <c r="E26" s="19">
        <f>INDEX(위험률!$C:$C,B26+2)</f>
        <v>2.5999999999999998E-4</v>
      </c>
      <c r="F26" s="19">
        <f t="shared" si="1"/>
        <v>6.4231346399999997E-3</v>
      </c>
      <c r="G26" s="20">
        <f t="shared" si="8"/>
        <v>95525.090027479557</v>
      </c>
      <c r="H26" s="20">
        <f t="shared" si="9"/>
        <v>95300.776980448791</v>
      </c>
      <c r="I26" s="20">
        <f t="shared" si="2"/>
        <v>74624.047654173235</v>
      </c>
      <c r="J26" s="20">
        <f t="shared" si="3"/>
        <v>74448.814660346572</v>
      </c>
      <c r="K26" s="20">
        <f t="shared" si="4"/>
        <v>293.9490213933874</v>
      </c>
      <c r="L26" s="21">
        <f t="shared" si="5"/>
        <v>1</v>
      </c>
      <c r="M26" s="20">
        <f>SUM(I26:$I$77)</f>
        <v>1433303.9445062699</v>
      </c>
      <c r="N26" s="20">
        <f>SUM(J26:$J$77)</f>
        <v>1419483.3501474615</v>
      </c>
      <c r="O26" s="22">
        <f>IF(I26&lt;=0,0,(IF(A26&lt;$B$4,SUMPRODUCT(L26:$L$76,K26:$K$76),0)+베타후*(INDEX($M$16:$M$77,MAX(A26,$B$5)+1)-$M$77)-IF(A26&lt;=$B$5,$E$13*(N26-INDEX($N$16:$N$77,$B$5+1)),0))/I26)</f>
        <v>0.13984775777980327</v>
      </c>
      <c r="P26" s="6">
        <f t="shared" si="6"/>
        <v>13985</v>
      </c>
      <c r="Q26" s="7">
        <v>13985</v>
      </c>
      <c r="R26" s="6">
        <f t="shared" si="7"/>
        <v>0</v>
      </c>
    </row>
    <row r="27" spans="1:18" x14ac:dyDescent="0.45">
      <c r="A27">
        <v>11</v>
      </c>
      <c r="B27">
        <f t="shared" si="0"/>
        <v>51</v>
      </c>
      <c r="C27" s="19">
        <f>INDEX(위험률!$B:$B,B27+2)</f>
        <v>2.65E-3</v>
      </c>
      <c r="D27" s="19">
        <f>INDEX(위험률!$D:$D,B27+2)</f>
        <v>4.2680000000000001E-3</v>
      </c>
      <c r="E27" s="19">
        <f>INDEX(위험률!$C:$C,B27+2)</f>
        <v>2.81E-4</v>
      </c>
      <c r="F27" s="19">
        <f t="shared" si="1"/>
        <v>6.9123449000000007E-3</v>
      </c>
      <c r="G27" s="20">
        <f t="shared" si="8"/>
        <v>94911.519512734929</v>
      </c>
      <c r="H27" s="20">
        <f t="shared" si="9"/>
        <v>94663.948633455686</v>
      </c>
      <c r="I27" s="20">
        <f t="shared" si="2"/>
        <v>72336.319364593859</v>
      </c>
      <c r="J27" s="20">
        <f t="shared" si="3"/>
        <v>72147.63451073358</v>
      </c>
      <c r="K27" s="20">
        <f t="shared" si="4"/>
        <v>304.94315210758526</v>
      </c>
      <c r="L27" s="21">
        <f t="shared" si="5"/>
        <v>1</v>
      </c>
      <c r="M27" s="20">
        <f>SUM(I27:$I$77)</f>
        <v>1358679.896852097</v>
      </c>
      <c r="N27" s="20">
        <f>SUM(J27:$J$77)</f>
        <v>1345034.5354871152</v>
      </c>
      <c r="O27" s="22">
        <f>IF(I27&lt;=0,0,(IF(A27&lt;$B$4,SUMPRODUCT(L27:$L$76,K27:$K$76),0)+베타후*(INDEX($M$16:$M$77,MAX(A27,$B$5)+1)-$M$77)-IF(A27&lt;=$B$5,$E$13*(N27-INDEX($N$16:$N$77,$B$5+1)),0))/I27)</f>
        <v>0.15544110116762586</v>
      </c>
      <c r="P27" s="6">
        <f t="shared" si="6"/>
        <v>15544</v>
      </c>
      <c r="Q27" s="7">
        <v>15544</v>
      </c>
      <c r="R27" s="6">
        <f t="shared" si="7"/>
        <v>0</v>
      </c>
    </row>
    <row r="28" spans="1:18" x14ac:dyDescent="0.45">
      <c r="A28">
        <v>12</v>
      </c>
      <c r="B28">
        <f t="shared" si="0"/>
        <v>52</v>
      </c>
      <c r="C28" s="19">
        <f>INDEX(위험률!$B:$B,B28+2)</f>
        <v>2.8999999999999998E-3</v>
      </c>
      <c r="D28" s="19">
        <f>INDEX(위험률!$D:$D,B28+2)</f>
        <v>4.5909999999999996E-3</v>
      </c>
      <c r="E28" s="19">
        <f>INDEX(위험률!$C:$C,B28+2)</f>
        <v>3.0200000000000002E-4</v>
      </c>
      <c r="F28" s="19">
        <f t="shared" si="1"/>
        <v>7.484343049999999E-3</v>
      </c>
      <c r="G28" s="20">
        <f t="shared" si="8"/>
        <v>94255.458354879825</v>
      </c>
      <c r="H28" s="20">
        <f t="shared" si="9"/>
        <v>93983.090137495034</v>
      </c>
      <c r="I28" s="20">
        <f t="shared" si="2"/>
        <v>70084.200757413899</v>
      </c>
      <c r="J28" s="20">
        <f t="shared" si="3"/>
        <v>69881.679766478133</v>
      </c>
      <c r="K28" s="20">
        <f t="shared" si="4"/>
        <v>317.8084828357841</v>
      </c>
      <c r="L28" s="21">
        <f t="shared" si="5"/>
        <v>1</v>
      </c>
      <c r="M28" s="20">
        <f>SUM(I28:$I$77)</f>
        <v>1286343.5774875029</v>
      </c>
      <c r="N28" s="20">
        <f>SUM(J28:$J$77)</f>
        <v>1272886.900976382</v>
      </c>
      <c r="O28" s="22">
        <f>IF(I28&lt;=0,0,(IF(A28&lt;$B$4,SUMPRODUCT(L28:$L$76,K28:$K$76),0)+베타후*(INDEX($M$16:$M$77,MAX(A28,$B$5)+1)-$M$77)-IF(A28&lt;=$B$5,$E$13*(N28-INDEX($N$16:$N$77,$B$5+1)),0))/I28)</f>
        <v>0.17132267388411129</v>
      </c>
      <c r="P28" s="6">
        <f t="shared" si="6"/>
        <v>17132</v>
      </c>
      <c r="Q28" s="7">
        <v>17132</v>
      </c>
      <c r="R28" s="6">
        <f t="shared" si="7"/>
        <v>0</v>
      </c>
    </row>
    <row r="29" spans="1:18" x14ac:dyDescent="0.45">
      <c r="A29">
        <v>13</v>
      </c>
      <c r="B29">
        <f t="shared" si="0"/>
        <v>53</v>
      </c>
      <c r="C29" s="19">
        <f>INDEX(위험률!$B:$B,B29+2)</f>
        <v>3.1700000000000001E-3</v>
      </c>
      <c r="D29" s="19">
        <f>INDEX(위험률!$D:$D,B29+2)</f>
        <v>4.9550000000000002E-3</v>
      </c>
      <c r="E29" s="19">
        <f>INDEX(위험률!$C:$C,B29+2)</f>
        <v>3.2299999999999999E-4</v>
      </c>
      <c r="F29" s="19">
        <f t="shared" si="1"/>
        <v>8.1171463249999996E-3</v>
      </c>
      <c r="G29" s="20">
        <f t="shared" si="8"/>
        <v>93550.018170216921</v>
      </c>
      <c r="H29" s="20">
        <f t="shared" si="9"/>
        <v>93251.411770440231</v>
      </c>
      <c r="I29" s="20">
        <f t="shared" si="2"/>
        <v>67863.089323473498</v>
      </c>
      <c r="J29" s="20">
        <f t="shared" si="3"/>
        <v>67646.474156774813</v>
      </c>
      <c r="K29" s="20">
        <f t="shared" si="4"/>
        <v>332.13554204132879</v>
      </c>
      <c r="L29" s="21">
        <f t="shared" si="5"/>
        <v>1</v>
      </c>
      <c r="M29" s="20">
        <f>SUM(I29:$I$77)</f>
        <v>1216259.3767300891</v>
      </c>
      <c r="N29" s="20">
        <f>SUM(J29:$J$77)</f>
        <v>1203005.2212099039</v>
      </c>
      <c r="O29" s="22">
        <f>IF(I29&lt;=0,0,(IF(A29&lt;$B$4,SUMPRODUCT(L29:$L$76,K29:$K$76),0)+베타후*(INDEX($M$16:$M$77,MAX(A29,$B$5)+1)-$M$77)-IF(A29&lt;=$B$5,$E$13*(N29-INDEX($N$16:$N$77,$B$5+1)),0))/I29)</f>
        <v>0.18748899692053511</v>
      </c>
      <c r="P29" s="6">
        <f t="shared" si="6"/>
        <v>18749</v>
      </c>
      <c r="Q29" s="7">
        <v>18749</v>
      </c>
      <c r="R29" s="6">
        <f t="shared" si="7"/>
        <v>0</v>
      </c>
    </row>
    <row r="30" spans="1:18" x14ac:dyDescent="0.45">
      <c r="A30">
        <v>14</v>
      </c>
      <c r="B30">
        <f t="shared" si="0"/>
        <v>54</v>
      </c>
      <c r="C30" s="19">
        <f>INDEX(위험률!$B:$B,B30+2)</f>
        <v>3.48E-3</v>
      </c>
      <c r="D30" s="19">
        <f>INDEX(위험률!$D:$D,B30+2)</f>
        <v>5.359E-3</v>
      </c>
      <c r="E30" s="19">
        <f>INDEX(위험률!$C:$C,B30+2)</f>
        <v>3.4200000000000002E-4</v>
      </c>
      <c r="F30" s="19">
        <f t="shared" si="1"/>
        <v>8.829675339999999E-3</v>
      </c>
      <c r="G30" s="20">
        <f t="shared" si="8"/>
        <v>92790.658984022855</v>
      </c>
      <c r="H30" s="20">
        <f t="shared" si="9"/>
        <v>92464.478455144606</v>
      </c>
      <c r="I30" s="20">
        <f t="shared" si="2"/>
        <v>65670.472875481297</v>
      </c>
      <c r="J30" s="20">
        <f t="shared" si="3"/>
        <v>65439.626044466793</v>
      </c>
      <c r="K30" s="20">
        <f t="shared" si="4"/>
        <v>347.60976484238108</v>
      </c>
      <c r="L30" s="21">
        <f t="shared" si="5"/>
        <v>1</v>
      </c>
      <c r="M30" s="20">
        <f>SUM(I30:$I$77)</f>
        <v>1148396.2874066154</v>
      </c>
      <c r="N30" s="20">
        <f>SUM(J30:$J$77)</f>
        <v>1135358.7470531291</v>
      </c>
      <c r="O30" s="22">
        <f>IF(I30&lt;=0,0,(IF(A30&lt;$B$4,SUMPRODUCT(L30:$L$76,K30:$K$76),0)+베타후*(INDEX($M$16:$M$77,MAX(A30,$B$5)+1)-$M$77)-IF(A30&lt;=$B$5,$E$13*(N30-INDEX($N$16:$N$77,$B$5+1)),0))/I30)</f>
        <v>0.20393853719801319</v>
      </c>
      <c r="P30" s="6">
        <f t="shared" si="6"/>
        <v>20394</v>
      </c>
      <c r="Q30" s="7">
        <v>20394</v>
      </c>
      <c r="R30" s="6">
        <f t="shared" si="7"/>
        <v>0</v>
      </c>
    </row>
    <row r="31" spans="1:18" x14ac:dyDescent="0.45">
      <c r="A31">
        <v>15</v>
      </c>
      <c r="B31">
        <f t="shared" si="0"/>
        <v>55</v>
      </c>
      <c r="C31" s="19">
        <f>INDEX(위험률!$B:$B,B31+2)</f>
        <v>3.81E-3</v>
      </c>
      <c r="D31" s="19">
        <f>INDEX(위험률!$D:$D,B31+2)</f>
        <v>5.8009999999999997E-3</v>
      </c>
      <c r="E31" s="19">
        <f>INDEX(위험률!$C:$C,B31+2)</f>
        <v>3.59E-4</v>
      </c>
      <c r="F31" s="19">
        <f t="shared" si="1"/>
        <v>9.5999490949999992E-3</v>
      </c>
      <c r="G31" s="20">
        <f t="shared" si="8"/>
        <v>91971.347590609279</v>
      </c>
      <c r="H31" s="20">
        <f t="shared" si="9"/>
        <v>91616.563888028206</v>
      </c>
      <c r="I31" s="20">
        <f t="shared" si="2"/>
        <v>63503.047727381985</v>
      </c>
      <c r="J31" s="20">
        <f t="shared" si="3"/>
        <v>63258.081800621942</v>
      </c>
      <c r="K31" s="20">
        <f t="shared" si="4"/>
        <v>363.86099420288036</v>
      </c>
      <c r="L31" s="21">
        <f t="shared" si="5"/>
        <v>1</v>
      </c>
      <c r="M31" s="20">
        <f>SUM(I31:$I$77)</f>
        <v>1082725.8145311344</v>
      </c>
      <c r="N31" s="20">
        <f>SUM(J31:$J$77)</f>
        <v>1069919.1210086623</v>
      </c>
      <c r="O31" s="22">
        <f>IF(I31&lt;=0,0,(IF(A31&lt;$B$4,SUMPRODUCT(L31:$L$76,K31:$K$76),0)+베타후*(INDEX($M$16:$M$77,MAX(A31,$B$5)+1)-$M$77)-IF(A31&lt;=$B$5,$E$13*(N31-INDEX($N$16:$N$77,$B$5+1)),0))/I31)</f>
        <v>0.22067851296348714</v>
      </c>
      <c r="P31" s="6">
        <f t="shared" si="6"/>
        <v>22068</v>
      </c>
      <c r="Q31" s="7">
        <v>22068</v>
      </c>
      <c r="R31" s="6">
        <f t="shared" si="7"/>
        <v>0</v>
      </c>
    </row>
    <row r="32" spans="1:18" x14ac:dyDescent="0.45">
      <c r="A32">
        <v>16</v>
      </c>
      <c r="B32">
        <f t="shared" si="0"/>
        <v>56</v>
      </c>
      <c r="C32" s="19">
        <f>INDEX(위험률!$B:$B,B32+2)</f>
        <v>4.1900000000000001E-3</v>
      </c>
      <c r="D32" s="19">
        <f>INDEX(위험률!$D:$D,B32+2)</f>
        <v>6.293E-3</v>
      </c>
      <c r="E32" s="19">
        <f>INDEX(위험률!$C:$C,B32+2)</f>
        <v>3.7500000000000001E-4</v>
      </c>
      <c r="F32" s="19">
        <f t="shared" si="1"/>
        <v>1.0469816165E-2</v>
      </c>
      <c r="G32" s="20">
        <f t="shared" si="8"/>
        <v>91088.42733554088</v>
      </c>
      <c r="H32" s="20">
        <f t="shared" si="9"/>
        <v>90704.317064834278</v>
      </c>
      <c r="I32" s="20">
        <f t="shared" si="2"/>
        <v>61359.435806655369</v>
      </c>
      <c r="J32" s="20">
        <f t="shared" si="3"/>
        <v>61100.689551093412</v>
      </c>
      <c r="K32" s="20">
        <f t="shared" si="4"/>
        <v>381.39689819825128</v>
      </c>
      <c r="L32" s="21">
        <f t="shared" si="5"/>
        <v>1</v>
      </c>
      <c r="M32" s="20">
        <f>SUM(I32:$I$77)</f>
        <v>1019222.7668037523</v>
      </c>
      <c r="N32" s="20">
        <f>SUM(J32:$J$77)</f>
        <v>1006661.0392080402</v>
      </c>
      <c r="O32" s="22">
        <f>IF(I32&lt;=0,0,(IF(A32&lt;$B$4,SUMPRODUCT(L32:$L$76,K32:$K$76),0)+베타후*(INDEX($M$16:$M$77,MAX(A32,$B$5)+1)-$M$77)-IF(A32&lt;=$B$5,$E$13*(N32-INDEX($N$16:$N$77,$B$5+1)),0))/I32)</f>
        <v>0.23771786341279061</v>
      </c>
      <c r="P32" s="6">
        <f t="shared" si="6"/>
        <v>23772</v>
      </c>
      <c r="Q32" s="7">
        <v>23772</v>
      </c>
      <c r="R32" s="6">
        <f t="shared" si="7"/>
        <v>0</v>
      </c>
    </row>
    <row r="33" spans="1:18" x14ac:dyDescent="0.45">
      <c r="A33">
        <v>17</v>
      </c>
      <c r="B33">
        <f t="shared" si="0"/>
        <v>57</v>
      </c>
      <c r="C33" s="19">
        <f>INDEX(위험률!$B:$B,B33+2)</f>
        <v>4.6299999999999996E-3</v>
      </c>
      <c r="D33" s="19">
        <f>INDEX(위험률!$D:$D,B33+2)</f>
        <v>6.8519999999999996E-3</v>
      </c>
      <c r="E33" s="19">
        <f>INDEX(위험률!$C:$C,B33+2)</f>
        <v>3.8900000000000002E-4</v>
      </c>
      <c r="F33" s="19">
        <f t="shared" si="1"/>
        <v>1.1466137619999999E-2</v>
      </c>
      <c r="G33" s="20">
        <f t="shared" si="8"/>
        <v>90134.748246578805</v>
      </c>
      <c r="H33" s="20">
        <f t="shared" si="9"/>
        <v>89720.823481680229</v>
      </c>
      <c r="I33" s="20">
        <f t="shared" si="2"/>
        <v>59236.111018313728</v>
      </c>
      <c r="J33" s="20">
        <f t="shared" si="3"/>
        <v>58964.081708821628</v>
      </c>
      <c r="K33" s="20">
        <f t="shared" si="4"/>
        <v>400.90544981607042</v>
      </c>
      <c r="L33" s="21">
        <f t="shared" si="5"/>
        <v>1</v>
      </c>
      <c r="M33" s="20">
        <f>SUM(I33:$I$77)</f>
        <v>957863.33099709696</v>
      </c>
      <c r="N33" s="20">
        <f>SUM(J33:$J$77)</f>
        <v>945560.34965694672</v>
      </c>
      <c r="O33" s="22">
        <f>IF(I33&lt;=0,0,(IF(A33&lt;$B$4,SUMPRODUCT(L33:$L$76,K33:$K$76),0)+베타후*(INDEX($M$16:$M$77,MAX(A33,$B$5)+1)-$M$77)-IF(A33&lt;=$B$5,$E$13*(N33-INDEX($N$16:$N$77,$B$5+1)),0))/I33)</f>
        <v>0.25506807000591358</v>
      </c>
      <c r="P33" s="6">
        <f t="shared" si="6"/>
        <v>25507</v>
      </c>
      <c r="Q33" s="7">
        <v>25507</v>
      </c>
      <c r="R33" s="6">
        <f t="shared" si="7"/>
        <v>0</v>
      </c>
    </row>
    <row r="34" spans="1:18" x14ac:dyDescent="0.45">
      <c r="A34">
        <v>18</v>
      </c>
      <c r="B34">
        <f t="shared" si="0"/>
        <v>58</v>
      </c>
      <c r="C34" s="19">
        <f>INDEX(위험률!$B:$B,B34+2)</f>
        <v>5.1399999999999996E-3</v>
      </c>
      <c r="D34" s="19">
        <f>INDEX(위험률!$D:$D,B34+2)</f>
        <v>7.4830000000000001E-3</v>
      </c>
      <c r="E34" s="19">
        <f>INDEX(위험률!$C:$C,B34+2)</f>
        <v>4.0200000000000001E-4</v>
      </c>
      <c r="F34" s="19">
        <f t="shared" si="1"/>
        <v>1.2603768689999999E-2</v>
      </c>
      <c r="G34" s="20">
        <f t="shared" si="8"/>
        <v>89101.250818839471</v>
      </c>
      <c r="H34" s="20">
        <f t="shared" si="9"/>
        <v>88657.370864054858</v>
      </c>
      <c r="I34" s="20">
        <f t="shared" si="2"/>
        <v>57128.684504686964</v>
      </c>
      <c r="J34" s="20">
        <f t="shared" si="3"/>
        <v>56844.08380983922</v>
      </c>
      <c r="K34" s="20">
        <f t="shared" si="4"/>
        <v>422.24842299947113</v>
      </c>
      <c r="L34" s="21">
        <f t="shared" si="5"/>
        <v>1</v>
      </c>
      <c r="M34" s="20">
        <f>SUM(I34:$I$77)</f>
        <v>898627.21997878316</v>
      </c>
      <c r="N34" s="20">
        <f>SUM(J34:$J$77)</f>
        <v>886596.26794812514</v>
      </c>
      <c r="O34" s="22">
        <f>IF(I34&lt;=0,0,(IF(A34&lt;$B$4,SUMPRODUCT(L34:$L$76,K34:$K$76),0)+베타후*(INDEX($M$16:$M$77,MAX(A34,$B$5)+1)-$M$77)-IF(A34&lt;=$B$5,$E$13*(N34-INDEX($N$16:$N$77,$B$5+1)),0))/I34)</f>
        <v>0.27273711747632995</v>
      </c>
      <c r="P34" s="6">
        <f t="shared" si="6"/>
        <v>27274</v>
      </c>
      <c r="Q34" s="7">
        <v>27274</v>
      </c>
      <c r="R34" s="6">
        <f t="shared" si="7"/>
        <v>0</v>
      </c>
    </row>
    <row r="35" spans="1:18" x14ac:dyDescent="0.45">
      <c r="A35">
        <v>19</v>
      </c>
      <c r="B35">
        <f t="shared" si="0"/>
        <v>59</v>
      </c>
      <c r="C35" s="19">
        <f>INDEX(위험률!$B:$B,B35+2)</f>
        <v>5.7099999999999998E-3</v>
      </c>
      <c r="D35" s="19">
        <f>INDEX(위험률!$D:$D,B35+2)</f>
        <v>8.1810000000000008E-3</v>
      </c>
      <c r="E35" s="19">
        <f>INDEX(위험률!$C:$C,B35+2)</f>
        <v>4.17E-4</v>
      </c>
      <c r="F35" s="19">
        <f t="shared" si="1"/>
        <v>1.3867643245E-2</v>
      </c>
      <c r="G35" s="20">
        <f t="shared" si="8"/>
        <v>87978.239263529147</v>
      </c>
      <c r="H35" s="20">
        <f t="shared" si="9"/>
        <v>87504.538206749407</v>
      </c>
      <c r="I35" s="20">
        <f t="shared" si="2"/>
        <v>55032.827102074065</v>
      </c>
      <c r="J35" s="20">
        <f t="shared" si="3"/>
        <v>54736.513961756013</v>
      </c>
      <c r="K35" s="20">
        <f t="shared" si="4"/>
        <v>444.6991338611453</v>
      </c>
      <c r="L35" s="21">
        <f t="shared" si="5"/>
        <v>1</v>
      </c>
      <c r="M35" s="20">
        <f>SUM(I35:$I$77)</f>
        <v>841498.53547409608</v>
      </c>
      <c r="N35" s="20">
        <f>SUM(J35:$J$77)</f>
        <v>829752.18413828581</v>
      </c>
      <c r="O35" s="22">
        <f>IF(I35&lt;=0,0,(IF(A35&lt;$B$4,SUMPRODUCT(L35:$L$76,K35:$K$76),0)+베타후*(INDEX($M$16:$M$77,MAX(A35,$B$5)+1)-$M$77)-IF(A35&lt;=$B$5,$E$13*(N35-INDEX($N$16:$N$77,$B$5+1)),0))/I35)</f>
        <v>0.29074032598120292</v>
      </c>
      <c r="P35" s="6">
        <f t="shared" si="6"/>
        <v>29074</v>
      </c>
      <c r="Q35" s="7">
        <v>29074</v>
      </c>
      <c r="R35" s="6">
        <f t="shared" si="7"/>
        <v>0</v>
      </c>
    </row>
    <row r="36" spans="1:18" x14ac:dyDescent="0.45">
      <c r="A36">
        <v>20</v>
      </c>
      <c r="B36">
        <f t="shared" si="0"/>
        <v>60</v>
      </c>
      <c r="C36" s="19">
        <f>INDEX(위험률!$B:$B,B36+2)</f>
        <v>6.3299999999999997E-3</v>
      </c>
      <c r="D36" s="19">
        <f>INDEX(위험률!$D:$D,B36+2)</f>
        <v>8.9300000000000004E-3</v>
      </c>
      <c r="E36" s="19">
        <f>INDEX(위험률!$C:$C,B36+2)</f>
        <v>5.1699999999999999E-4</v>
      </c>
      <c r="F36" s="19">
        <f t="shared" si="1"/>
        <v>1.523173655E-2</v>
      </c>
      <c r="G36" s="20">
        <f t="shared" si="8"/>
        <v>86758.188428099267</v>
      </c>
      <c r="H36" s="20">
        <f t="shared" si="9"/>
        <v>86254.820107085747</v>
      </c>
      <c r="I36" s="20">
        <f t="shared" si="2"/>
        <v>52946.001452740224</v>
      </c>
      <c r="J36" s="20">
        <f t="shared" si="3"/>
        <v>52638.810392870037</v>
      </c>
      <c r="K36" s="20">
        <f t="shared" si="4"/>
        <v>467.00625064597477</v>
      </c>
      <c r="L36" s="21">
        <f t="shared" si="5"/>
        <v>1</v>
      </c>
      <c r="M36" s="20">
        <f>SUM(I36:$I$77)</f>
        <v>786465.70837202214</v>
      </c>
      <c r="N36" s="20">
        <f>SUM(J36:$J$77)</f>
        <v>775015.67017652991</v>
      </c>
      <c r="O36" s="22">
        <f>IF(I36&lt;=0,0,(IF(A36&lt;$B$4,SUMPRODUCT(L36:$L$76,K36:$K$76),0)+베타후*(INDEX($M$16:$M$77,MAX(A36,$B$5)+1)-$M$77)-IF(A36&lt;=$B$5,$E$13*(N36-INDEX($N$16:$N$77,$B$5+1)),0))/I36)</f>
        <v>0.30910294160956214</v>
      </c>
      <c r="P36" s="6">
        <f t="shared" si="6"/>
        <v>30910</v>
      </c>
      <c r="Q36" s="7">
        <v>30910</v>
      </c>
      <c r="R36" s="6">
        <f t="shared" si="7"/>
        <v>0</v>
      </c>
    </row>
    <row r="37" spans="1:18" x14ac:dyDescent="0.45">
      <c r="A37">
        <v>21</v>
      </c>
      <c r="B37">
        <f t="shared" si="0"/>
        <v>61</v>
      </c>
      <c r="C37" s="19">
        <f>INDEX(위험률!$B:$B,B37+2)</f>
        <v>7.0000000000000001E-3</v>
      </c>
      <c r="D37" s="19">
        <f>INDEX(위험률!$D:$D,B37+2)</f>
        <v>9.724E-3</v>
      </c>
      <c r="E37" s="19">
        <f>INDEX(위험률!$C:$C,B37+2)</f>
        <v>5.31E-4</v>
      </c>
      <c r="F37" s="19">
        <f t="shared" si="1"/>
        <v>1.6689966000000001E-2</v>
      </c>
      <c r="G37" s="20">
        <f t="shared" si="8"/>
        <v>85436.710558407198</v>
      </c>
      <c r="H37" s="20">
        <f t="shared" si="9"/>
        <v>84896.75528911654</v>
      </c>
      <c r="I37" s="20">
        <f t="shared" si="2"/>
        <v>50867.845763157238</v>
      </c>
      <c r="J37" s="20">
        <f t="shared" si="3"/>
        <v>50546.363800921528</v>
      </c>
      <c r="K37" s="20">
        <f t="shared" si="4"/>
        <v>488.56951299001935</v>
      </c>
      <c r="L37" s="21">
        <f t="shared" si="5"/>
        <v>1</v>
      </c>
      <c r="M37" s="20">
        <f>SUM(I37:$I$77)</f>
        <v>733519.70691928186</v>
      </c>
      <c r="N37" s="20">
        <f>SUM(J37:$J$77)</f>
        <v>722376.85978365992</v>
      </c>
      <c r="O37" s="22">
        <f>IF(I37&lt;=0,0,(IF(A37&lt;$B$4,SUMPRODUCT(L37:$L$76,K37:$K$76),0)+베타후*(INDEX($M$16:$M$77,MAX(A37,$B$5)+1)-$M$77)-IF(A37&lt;=$B$5,$E$13*(N37-INDEX($N$16:$N$77,$B$5+1)),0))/I37)</f>
        <v>0.31150940846180486</v>
      </c>
      <c r="P37" s="6">
        <f t="shared" si="6"/>
        <v>31151</v>
      </c>
      <c r="Q37" s="7">
        <v>31151</v>
      </c>
      <c r="R37" s="6">
        <f t="shared" si="7"/>
        <v>0</v>
      </c>
    </row>
    <row r="38" spans="1:18" x14ac:dyDescent="0.45">
      <c r="A38">
        <v>22</v>
      </c>
      <c r="B38">
        <f t="shared" si="0"/>
        <v>62</v>
      </c>
      <c r="C38" s="19">
        <f>INDEX(위험률!$B:$B,B38+2)</f>
        <v>7.7200000000000003E-3</v>
      </c>
      <c r="D38" s="19">
        <f>INDEX(위험률!$D:$D,B38+2)</f>
        <v>1.057E-2</v>
      </c>
      <c r="E38" s="19">
        <f>INDEX(위험률!$C:$C,B38+2)</f>
        <v>5.44E-4</v>
      </c>
      <c r="F38" s="19">
        <f t="shared" si="1"/>
        <v>1.8249199800000001E-2</v>
      </c>
      <c r="G38" s="20">
        <f t="shared" si="8"/>
        <v>84010.774764035552</v>
      </c>
      <c r="H38" s="20">
        <f t="shared" si="9"/>
        <v>83435.127346083551</v>
      </c>
      <c r="I38" s="20">
        <f t="shared" si="2"/>
        <v>48798.890875001867</v>
      </c>
      <c r="J38" s="20">
        <f t="shared" si="3"/>
        <v>48464.517628117566</v>
      </c>
      <c r="K38" s="20">
        <f t="shared" si="4"/>
        <v>509.4751500256499</v>
      </c>
      <c r="L38" s="21">
        <f t="shared" si="5"/>
        <v>1</v>
      </c>
      <c r="M38" s="20">
        <f>SUM(I38:$I$77)</f>
        <v>682651.86115612474</v>
      </c>
      <c r="N38" s="20">
        <f>SUM(J38:$J$77)</f>
        <v>671830.49598273833</v>
      </c>
      <c r="O38" s="22">
        <f>IF(I38&lt;=0,0,(IF(A38&lt;$B$4,SUMPRODUCT(L38:$L$76,K38:$K$76),0)+베타후*(INDEX($M$16:$M$77,MAX(A38,$B$5)+1)-$M$77)-IF(A38&lt;=$B$5,$E$13*(N38-INDEX($N$16:$N$77,$B$5+1)),0))/I38)</f>
        <v>0.3136623581027993</v>
      </c>
      <c r="P38" s="6">
        <f t="shared" si="6"/>
        <v>31366</v>
      </c>
      <c r="Q38" s="7">
        <v>31366</v>
      </c>
      <c r="R38" s="6">
        <f t="shared" si="7"/>
        <v>0</v>
      </c>
    </row>
    <row r="39" spans="1:18" x14ac:dyDescent="0.45">
      <c r="A39">
        <v>23</v>
      </c>
      <c r="B39">
        <f t="shared" si="0"/>
        <v>63</v>
      </c>
      <c r="C39" s="19">
        <f>INDEX(위험률!$B:$B,B39+2)</f>
        <v>8.4799999999999997E-3</v>
      </c>
      <c r="D39" s="19">
        <f>INDEX(위험률!$D:$D,B39+2)</f>
        <v>1.1464999999999999E-2</v>
      </c>
      <c r="E39" s="19">
        <f>INDEX(위험률!$C:$C,B39+2)</f>
        <v>5.62E-4</v>
      </c>
      <c r="F39" s="19">
        <f t="shared" si="1"/>
        <v>1.9896388399999996E-2</v>
      </c>
      <c r="G39" s="20">
        <f t="shared" si="8"/>
        <v>82477.645350013874</v>
      </c>
      <c r="H39" s="20">
        <f t="shared" si="9"/>
        <v>81867.528481342291</v>
      </c>
      <c r="I39" s="20">
        <f t="shared" si="2"/>
        <v>46739.853819907876</v>
      </c>
      <c r="J39" s="20">
        <f t="shared" si="3"/>
        <v>46394.102275549987</v>
      </c>
      <c r="K39" s="20">
        <f t="shared" si="4"/>
        <v>529.29705325784664</v>
      </c>
      <c r="L39" s="21">
        <f t="shared" si="5"/>
        <v>1</v>
      </c>
      <c r="M39" s="20">
        <f>SUM(I39:$I$77)</f>
        <v>633852.97028112283</v>
      </c>
      <c r="N39" s="20">
        <f>SUM(J39:$J$77)</f>
        <v>623365.97835462063</v>
      </c>
      <c r="O39" s="22">
        <f>IF(I39&lt;=0,0,(IF(A39&lt;$B$4,SUMPRODUCT(L39:$L$76,K39:$K$76),0)+베타후*(INDEX($M$16:$M$77,MAX(A39,$B$5)+1)-$M$77)-IF(A39&lt;=$B$5,$E$13*(N39-INDEX($N$16:$N$77,$B$5+1)),0))/I39)</f>
        <v>0.31553588508383312</v>
      </c>
      <c r="P39" s="6">
        <f t="shared" si="6"/>
        <v>31554</v>
      </c>
      <c r="Q39" s="7">
        <v>31554</v>
      </c>
      <c r="R39" s="6">
        <f t="shared" si="7"/>
        <v>0</v>
      </c>
    </row>
    <row r="40" spans="1:18" x14ac:dyDescent="0.45">
      <c r="A40">
        <v>24</v>
      </c>
      <c r="B40">
        <f t="shared" si="0"/>
        <v>64</v>
      </c>
      <c r="C40" s="19">
        <f>INDEX(위험률!$B:$B,B40+2)</f>
        <v>9.2800000000000001E-3</v>
      </c>
      <c r="D40" s="19">
        <f>INDEX(위험률!$D:$D,B40+2)</f>
        <v>1.2409E-2</v>
      </c>
      <c r="E40" s="19">
        <f>INDEX(위험률!$C:$C,B40+2)</f>
        <v>5.9000000000000003E-4</v>
      </c>
      <c r="F40" s="19">
        <f t="shared" si="1"/>
        <v>2.163142224E-2</v>
      </c>
      <c r="G40" s="20">
        <f t="shared" si="8"/>
        <v>80836.638083812548</v>
      </c>
      <c r="H40" s="20">
        <f t="shared" si="9"/>
        <v>80193.108498271409</v>
      </c>
      <c r="I40" s="20">
        <f t="shared" si="2"/>
        <v>44692.584911753911</v>
      </c>
      <c r="J40" s="20">
        <f t="shared" si="3"/>
        <v>44336.793264218999</v>
      </c>
      <c r="K40" s="20">
        <f t="shared" si="4"/>
        <v>547.78523966442981</v>
      </c>
      <c r="L40" s="21">
        <f t="shared" si="5"/>
        <v>1</v>
      </c>
      <c r="M40" s="20">
        <f>SUM(I40:$I$77)</f>
        <v>587113.11646121508</v>
      </c>
      <c r="N40" s="20">
        <f>SUM(J40:$J$77)</f>
        <v>576971.87607907073</v>
      </c>
      <c r="O40" s="22">
        <f>IF(I40&lt;=0,0,(IF(A40&lt;$B$4,SUMPRODUCT(L40:$L$76,K40:$K$76),0)+베타후*(INDEX($M$16:$M$77,MAX(A40,$B$5)+1)-$M$77)-IF(A40&lt;=$B$5,$E$13*(N40-INDEX($N$16:$N$77,$B$5+1)),0))/I40)</f>
        <v>0.31710101943440466</v>
      </c>
      <c r="P40" s="6">
        <f t="shared" si="6"/>
        <v>31710</v>
      </c>
      <c r="Q40" s="7">
        <v>31710</v>
      </c>
      <c r="R40" s="6">
        <f t="shared" si="7"/>
        <v>0</v>
      </c>
    </row>
    <row r="41" spans="1:18" x14ac:dyDescent="0.45">
      <c r="A41">
        <v>25</v>
      </c>
      <c r="B41">
        <f t="shared" si="0"/>
        <v>65</v>
      </c>
      <c r="C41" s="19">
        <f>INDEX(위험률!$B:$B,B41+2)</f>
        <v>1.0149999999999999E-2</v>
      </c>
      <c r="D41" s="19">
        <f>INDEX(위험률!$D:$D,B41+2)</f>
        <v>1.3401E-2</v>
      </c>
      <c r="E41" s="19">
        <f>INDEX(위험률!$C:$C,B41+2)</f>
        <v>6.29E-4</v>
      </c>
      <c r="F41" s="19">
        <f t="shared" si="1"/>
        <v>2.3482989924999999E-2</v>
      </c>
      <c r="G41" s="20">
        <f t="shared" si="8"/>
        <v>79088.026632959532</v>
      </c>
      <c r="H41" s="20">
        <f t="shared" si="9"/>
        <v>78411.615307435437</v>
      </c>
      <c r="I41" s="20">
        <f t="shared" si="2"/>
        <v>42659.337303932407</v>
      </c>
      <c r="J41" s="20">
        <f t="shared" si="3"/>
        <v>42294.487400347796</v>
      </c>
      <c r="K41" s="20">
        <f t="shared" si="4"/>
        <v>564.66306227262498</v>
      </c>
      <c r="L41" s="21">
        <f t="shared" si="5"/>
        <v>1</v>
      </c>
      <c r="M41" s="20">
        <f>SUM(I41:$I$77)</f>
        <v>542420.53154946107</v>
      </c>
      <c r="N41" s="20">
        <f>SUM(J41:$J$77)</f>
        <v>532635.08281485178</v>
      </c>
      <c r="O41" s="22">
        <f>IF(I41&lt;=0,0,(IF(A41&lt;$B$4,SUMPRODUCT(L41:$L$76,K41:$K$76),0)+베타후*(INDEX($M$16:$M$77,MAX(A41,$B$5)+1)-$M$77)-IF(A41&lt;=$B$5,$E$13*(N41-INDEX($N$16:$N$77,$B$5+1)),0))/I41)</f>
        <v>0.31832623923222281</v>
      </c>
      <c r="P41" s="6">
        <f t="shared" si="6"/>
        <v>31833</v>
      </c>
      <c r="Q41" s="7">
        <v>31833</v>
      </c>
      <c r="R41" s="6">
        <f t="shared" si="7"/>
        <v>0</v>
      </c>
    </row>
    <row r="42" spans="1:18" x14ac:dyDescent="0.45">
      <c r="A42">
        <v>26</v>
      </c>
      <c r="B42">
        <f t="shared" si="0"/>
        <v>66</v>
      </c>
      <c r="C42" s="19">
        <f>INDEX(위험률!$B:$B,B42+2)</f>
        <v>1.116E-2</v>
      </c>
      <c r="D42" s="19">
        <f>INDEX(위험률!$D:$D,B42+2)</f>
        <v>1.4453000000000001E-2</v>
      </c>
      <c r="E42" s="19">
        <f>INDEX(위험률!$C:$C,B42+2)</f>
        <v>6.8099999999999996E-4</v>
      </c>
      <c r="F42" s="19">
        <f t="shared" si="1"/>
        <v>2.5532352260000002E-2</v>
      </c>
      <c r="G42" s="20">
        <f t="shared" si="8"/>
        <v>77230.803300349609</v>
      </c>
      <c r="H42" s="20">
        <f t="shared" si="9"/>
        <v>76521.534330309252</v>
      </c>
      <c r="I42" s="20">
        <f t="shared" si="2"/>
        <v>40641.530259333638</v>
      </c>
      <c r="J42" s="20">
        <f t="shared" si="3"/>
        <v>40268.28830047691</v>
      </c>
      <c r="K42" s="20">
        <f t="shared" si="4"/>
        <v>580.18449962132638</v>
      </c>
      <c r="L42" s="21">
        <f t="shared" si="5"/>
        <v>1</v>
      </c>
      <c r="M42" s="20">
        <f>SUM(I42:$I$77)</f>
        <v>499761.19424552855</v>
      </c>
      <c r="N42" s="20">
        <f>SUM(J42:$J$77)</f>
        <v>490340.595414504</v>
      </c>
      <c r="O42" s="22">
        <f>IF(I42&lt;=0,0,(IF(A42&lt;$B$4,SUMPRODUCT(L42:$L$76,K42:$K$76),0)+베타후*(INDEX($M$16:$M$77,MAX(A42,$B$5)+1)-$M$77)-IF(A42&lt;=$B$5,$E$13*(N42-INDEX($N$16:$N$77,$B$5+1)),0))/I42)</f>
        <v>0.3191873910688669</v>
      </c>
      <c r="P42" s="6">
        <f t="shared" si="6"/>
        <v>31919</v>
      </c>
      <c r="Q42" s="7">
        <v>31919</v>
      </c>
      <c r="R42" s="6">
        <f t="shared" si="7"/>
        <v>0</v>
      </c>
    </row>
    <row r="43" spans="1:18" x14ac:dyDescent="0.45">
      <c r="A43">
        <v>27</v>
      </c>
      <c r="B43">
        <f t="shared" si="0"/>
        <v>67</v>
      </c>
      <c r="C43" s="19">
        <f>INDEX(위험률!$B:$B,B43+2)</f>
        <v>1.24E-2</v>
      </c>
      <c r="D43" s="19">
        <f>INDEX(위험률!$D:$D,B43+2)</f>
        <v>1.5585E-2</v>
      </c>
      <c r="E43" s="19">
        <f>INDEX(위험률!$C:$C,B43+2)</f>
        <v>7.3999999999999999E-4</v>
      </c>
      <c r="F43" s="19">
        <f t="shared" si="1"/>
        <v>2.7888373000000001E-2</v>
      </c>
      <c r="G43" s="20">
        <f t="shared" si="8"/>
        <v>75258.919225162317</v>
      </c>
      <c r="H43" s="20">
        <f t="shared" si="9"/>
        <v>74516.313655742357</v>
      </c>
      <c r="I43" s="20">
        <f t="shared" si="2"/>
        <v>38637.908675479899</v>
      </c>
      <c r="J43" s="20">
        <f t="shared" si="3"/>
        <v>38256.655177973415</v>
      </c>
      <c r="K43" s="20">
        <f t="shared" si="4"/>
        <v>594.78291575281003</v>
      </c>
      <c r="L43" s="21">
        <f t="shared" si="5"/>
        <v>1</v>
      </c>
      <c r="M43" s="20">
        <f>SUM(I43:$I$77)</f>
        <v>459119.66398619488</v>
      </c>
      <c r="N43" s="20">
        <f>SUM(J43:$J$77)</f>
        <v>450072.30711402703</v>
      </c>
      <c r="O43" s="22">
        <f>IF(I43&lt;=0,0,(IF(A43&lt;$B$4,SUMPRODUCT(L43:$L$76,K43:$K$76),0)+베타후*(INDEX($M$16:$M$77,MAX(A43,$B$5)+1)-$M$77)-IF(A43&lt;=$B$5,$E$13*(N43-INDEX($N$16:$N$77,$B$5+1)),0))/I43)</f>
        <v>0.31967149377525272</v>
      </c>
      <c r="P43" s="6">
        <f t="shared" si="6"/>
        <v>31967</v>
      </c>
      <c r="Q43" s="7">
        <v>31967</v>
      </c>
      <c r="R43" s="6">
        <f t="shared" si="7"/>
        <v>0</v>
      </c>
    </row>
    <row r="44" spans="1:18" x14ac:dyDescent="0.45">
      <c r="A44">
        <v>28</v>
      </c>
      <c r="B44">
        <f t="shared" si="0"/>
        <v>68</v>
      </c>
      <c r="C44" s="19">
        <f>INDEX(위험률!$B:$B,B44+2)</f>
        <v>1.391E-2</v>
      </c>
      <c r="D44" s="19">
        <f>INDEX(위험률!$D:$D,B44+2)</f>
        <v>1.6808E-2</v>
      </c>
      <c r="E44" s="19">
        <f>INDEX(위험률!$C:$C,B44+2)</f>
        <v>8.0500000000000005E-4</v>
      </c>
      <c r="F44" s="19">
        <f t="shared" si="1"/>
        <v>3.0601100360000001E-2</v>
      </c>
      <c r="G44" s="20">
        <f t="shared" si="8"/>
        <v>73160.070414234113</v>
      </c>
      <c r="H44" s="20">
        <f t="shared" si="9"/>
        <v>72383.801745158213</v>
      </c>
      <c r="I44" s="20">
        <f t="shared" si="2"/>
        <v>36644.253918437244</v>
      </c>
      <c r="J44" s="20">
        <f t="shared" si="3"/>
        <v>36255.438187978216</v>
      </c>
      <c r="K44" s="20">
        <f t="shared" si="4"/>
        <v>608.35907450517664</v>
      </c>
      <c r="L44" s="21">
        <f t="shared" si="5"/>
        <v>1</v>
      </c>
      <c r="M44" s="20">
        <f>SUM(I44:$I$77)</f>
        <v>420481.75531071506</v>
      </c>
      <c r="N44" s="20">
        <f>SUM(J44:$J$77)</f>
        <v>411815.65193605365</v>
      </c>
      <c r="O44" s="22">
        <f>IF(I44&lt;=0,0,(IF(A44&lt;$B$4,SUMPRODUCT(L44:$L$76,K44:$K$76),0)+베타후*(INDEX($M$16:$M$77,MAX(A44,$B$5)+1)-$M$77)-IF(A44&lt;=$B$5,$E$13*(N44-INDEX($N$16:$N$77,$B$5+1)),0))/I44)</f>
        <v>0.31977775244915946</v>
      </c>
      <c r="P44" s="6">
        <f t="shared" si="6"/>
        <v>31978</v>
      </c>
      <c r="Q44" s="7">
        <v>31978</v>
      </c>
      <c r="R44" s="6">
        <f t="shared" si="7"/>
        <v>0</v>
      </c>
    </row>
    <row r="45" spans="1:18" x14ac:dyDescent="0.45">
      <c r="A45">
        <v>29</v>
      </c>
      <c r="B45">
        <f t="shared" si="0"/>
        <v>69</v>
      </c>
      <c r="C45" s="19">
        <f>INDEX(위험률!$B:$B,B45+2)</f>
        <v>1.5650000000000001E-2</v>
      </c>
      <c r="D45" s="19">
        <f>INDEX(위험률!$D:$D,B45+2)</f>
        <v>1.8114999999999999E-2</v>
      </c>
      <c r="E45" s="19">
        <f>INDEX(위험률!$C:$C,B45+2)</f>
        <v>8.7000000000000001E-4</v>
      </c>
      <c r="F45" s="19">
        <f t="shared" si="1"/>
        <v>3.3623250125000004E-2</v>
      </c>
      <c r="G45" s="20">
        <f t="shared" si="8"/>
        <v>70921.291757143466</v>
      </c>
      <c r="H45" s="20">
        <f t="shared" si="9"/>
        <v>70111.400350264055</v>
      </c>
      <c r="I45" s="20">
        <f t="shared" si="2"/>
        <v>34656.487245523727</v>
      </c>
      <c r="J45" s="20">
        <f t="shared" si="3"/>
        <v>34260.724696402525</v>
      </c>
      <c r="K45" s="20">
        <f t="shared" si="4"/>
        <v>620.09887941898683</v>
      </c>
      <c r="L45" s="21">
        <f t="shared" si="5"/>
        <v>1</v>
      </c>
      <c r="M45" s="20">
        <f>SUM(I45:$I$77)</f>
        <v>383837.50139227766</v>
      </c>
      <c r="N45" s="20">
        <f>SUM(J45:$J$77)</f>
        <v>375560.21374807548</v>
      </c>
      <c r="O45" s="22">
        <f>IF(I45&lt;=0,0,(IF(A45&lt;$B$4,SUMPRODUCT(L45:$L$76,K45:$K$76),0)+베타후*(INDEX($M$16:$M$77,MAX(A45,$B$5)+1)-$M$77)-IF(A45&lt;=$B$5,$E$13*(N45-INDEX($N$16:$N$77,$B$5+1)),0))/I45)</f>
        <v>0.31950767979870071</v>
      </c>
      <c r="P45" s="6">
        <f t="shared" si="6"/>
        <v>31951</v>
      </c>
      <c r="Q45" s="7">
        <v>31951</v>
      </c>
      <c r="R45" s="6">
        <f t="shared" si="7"/>
        <v>0</v>
      </c>
    </row>
    <row r="46" spans="1:18" x14ac:dyDescent="0.45">
      <c r="A46">
        <v>30</v>
      </c>
      <c r="B46">
        <f t="shared" si="0"/>
        <v>70</v>
      </c>
      <c r="C46" s="19">
        <f>INDEX(위험률!$B:$B,B46+2)</f>
        <v>1.7510000000000001E-2</v>
      </c>
      <c r="D46" s="19">
        <f>INDEX(위험률!$D:$D,B46+2)</f>
        <v>1.9476E-2</v>
      </c>
      <c r="E46" s="19">
        <f>INDEX(위험률!$C:$C,B46+2)</f>
        <v>1.0480000000000001E-3</v>
      </c>
      <c r="F46" s="19">
        <f t="shared" si="1"/>
        <v>3.6815487620000004E-2</v>
      </c>
      <c r="G46" s="20">
        <f t="shared" si="8"/>
        <v>68536.687425204931</v>
      </c>
      <c r="H46" s="20">
        <f t="shared" si="9"/>
        <v>67694.055738688898</v>
      </c>
      <c r="I46" s="20">
        <f t="shared" si="2"/>
        <v>32674.364396501092</v>
      </c>
      <c r="J46" s="20">
        <f t="shared" si="3"/>
        <v>32272.645903652869</v>
      </c>
      <c r="K46" s="20">
        <f t="shared" si="4"/>
        <v>628.55745445729906</v>
      </c>
      <c r="L46" s="21">
        <f t="shared" si="5"/>
        <v>1</v>
      </c>
      <c r="M46" s="20">
        <f>SUM(I46:$I$77)</f>
        <v>349181.01414675405</v>
      </c>
      <c r="N46" s="20">
        <f>SUM(J46:$J$77)</f>
        <v>341299.48905167292</v>
      </c>
      <c r="O46" s="22">
        <f>IF(I46&lt;=0,0,(IF(A46&lt;$B$4,SUMPRODUCT(L46:$L$76,K46:$K$76),0)+베타후*(INDEX($M$16:$M$77,MAX(A46,$B$5)+1)-$M$77)-IF(A46&lt;=$B$5,$E$13*(N46-INDEX($N$16:$N$77,$B$5+1)),0))/I46)</f>
        <v>0.3188511438723402</v>
      </c>
      <c r="P46" s="6">
        <f t="shared" si="6"/>
        <v>31885</v>
      </c>
      <c r="Q46" s="7">
        <v>31885</v>
      </c>
      <c r="R46" s="6">
        <f t="shared" si="7"/>
        <v>0</v>
      </c>
    </row>
    <row r="47" spans="1:18" x14ac:dyDescent="0.45">
      <c r="A47">
        <v>31</v>
      </c>
      <c r="B47">
        <f t="shared" si="0"/>
        <v>71</v>
      </c>
      <c r="C47" s="19">
        <f>INDEX(위험률!$B:$B,B47+2)</f>
        <v>1.9369999999999998E-2</v>
      </c>
      <c r="D47" s="19">
        <f>INDEX(위험률!$D:$D,B47+2)</f>
        <v>2.0858999999999999E-2</v>
      </c>
      <c r="E47" s="19">
        <f>INDEX(위험률!$C:$C,B47+2)</f>
        <v>1.111E-3</v>
      </c>
      <c r="F47" s="19">
        <f t="shared" si="1"/>
        <v>4.0026980585000003E-2</v>
      </c>
      <c r="G47" s="20">
        <f t="shared" si="8"/>
        <v>66013.475857786485</v>
      </c>
      <c r="H47" s="20">
        <f t="shared" si="9"/>
        <v>65132.228604667063</v>
      </c>
      <c r="I47" s="20">
        <f t="shared" si="2"/>
        <v>30703.84559860521</v>
      </c>
      <c r="J47" s="20">
        <f t="shared" si="3"/>
        <v>30293.964445668131</v>
      </c>
      <c r="K47" s="20">
        <f t="shared" si="4"/>
        <v>632.59291692168699</v>
      </c>
      <c r="L47" s="21">
        <f t="shared" si="5"/>
        <v>1</v>
      </c>
      <c r="M47" s="20">
        <f>SUM(I47:$I$77)</f>
        <v>316506.64975025284</v>
      </c>
      <c r="N47" s="20">
        <f>SUM(J47:$J$77)</f>
        <v>309026.84314802004</v>
      </c>
      <c r="O47" s="22">
        <f>IF(I47&lt;=0,0,(IF(A47&lt;$B$4,SUMPRODUCT(L47:$L$76,K47:$K$76),0)+베타후*(INDEX($M$16:$M$77,MAX(A47,$B$5)+1)-$M$77)-IF(A47&lt;=$B$5,$E$13*(N47-INDEX($N$16:$N$77,$B$5+1)),0))/I47)</f>
        <v>0.31777865130729654</v>
      </c>
      <c r="P47" s="6">
        <f t="shared" si="6"/>
        <v>31778</v>
      </c>
      <c r="Q47" s="7">
        <v>31778</v>
      </c>
      <c r="R47" s="6">
        <f t="shared" si="7"/>
        <v>0</v>
      </c>
    </row>
    <row r="48" spans="1:18" x14ac:dyDescent="0.45">
      <c r="A48">
        <v>32</v>
      </c>
      <c r="B48">
        <f t="shared" ref="B48:B79" si="10">가입나이+A48</f>
        <v>72</v>
      </c>
      <c r="C48" s="19">
        <f>INDEX(위험률!$B:$B,B48+2)</f>
        <v>2.111E-2</v>
      </c>
      <c r="D48" s="19">
        <f>INDEX(위험률!$D:$D,B48+2)</f>
        <v>2.2248E-2</v>
      </c>
      <c r="E48" s="19">
        <f>INDEX(위험률!$C:$C,B48+2)</f>
        <v>1.175E-3</v>
      </c>
      <c r="F48" s="19">
        <f t="shared" ref="F48:F77" si="11">MIN(1,C48+D48-C48*D48/2)</f>
        <v>4.3123172360000003E-2</v>
      </c>
      <c r="G48" s="20">
        <f t="shared" si="8"/>
        <v>63371.155741278497</v>
      </c>
      <c r="H48" s="20">
        <f t="shared" si="9"/>
        <v>62454.268463173365</v>
      </c>
      <c r="I48" s="20">
        <f t="shared" ref="I48:I77" si="12">G48*현가율^A48</f>
        <v>28755.964260434142</v>
      </c>
      <c r="J48" s="20">
        <f t="shared" ref="J48:J77" si="13">H48*현가율^A48</f>
        <v>28339.907815011549</v>
      </c>
      <c r="K48" s="20">
        <f t="shared" ref="K48:K77" si="14">G48*D48*현가율^(A48+0.5)</f>
        <v>631.91254657612706</v>
      </c>
      <c r="L48" s="21">
        <f t="shared" ref="L48:L77" si="15">IF(A48=0,$B$7,1)</f>
        <v>1</v>
      </c>
      <c r="M48" s="20">
        <f>SUM(I48:$I$77)</f>
        <v>285802.80415164778</v>
      </c>
      <c r="N48" s="20">
        <f>SUM(J48:$J$77)</f>
        <v>278732.87870235182</v>
      </c>
      <c r="O48" s="22">
        <f>IF(I48&lt;=0,0,(IF(A48&lt;$B$4,SUMPRODUCT(L48:$L$76,K48:$K$76),0)+베타후*(INDEX($M$16:$M$77,MAX(A48,$B$5)+1)-$M$77)-IF(A48&lt;=$B$5,$E$13*(N48-INDEX($N$16:$N$77,$B$5+1)),0))/I48)</f>
        <v>0.3162380436765313</v>
      </c>
      <c r="P48" s="6">
        <f t="shared" ref="P48:P79" si="16">ROUND(O48*100000,0)</f>
        <v>31624</v>
      </c>
      <c r="Q48" s="7">
        <v>31624</v>
      </c>
      <c r="R48" s="6">
        <f t="shared" ref="R48:R79" si="17">P48-Q48</f>
        <v>0</v>
      </c>
    </row>
    <row r="49" spans="1:18" x14ac:dyDescent="0.45">
      <c r="A49">
        <v>33</v>
      </c>
      <c r="B49">
        <f t="shared" si="10"/>
        <v>73</v>
      </c>
      <c r="C49" s="19">
        <f>INDEX(위험률!$B:$B,B49+2)</f>
        <v>2.265E-2</v>
      </c>
      <c r="D49" s="19">
        <f>INDEX(위험률!$D:$D,B49+2)</f>
        <v>2.3633000000000001E-2</v>
      </c>
      <c r="E49" s="19">
        <f>INDEX(위험률!$C:$C,B49+2)</f>
        <v>1.237E-3</v>
      </c>
      <c r="F49" s="19">
        <f t="shared" si="11"/>
        <v>4.6015356275000002E-2</v>
      </c>
      <c r="G49" s="20">
        <f t="shared" ref="G49:G77" si="18">G48*MAX(0,1-F48)</f>
        <v>60638.390469594946</v>
      </c>
      <c r="H49" s="20">
        <f t="shared" ref="H49:H77" si="19">H48*MAX(0,1-F48-E48+F48*E48/2)</f>
        <v>59689.240784556838</v>
      </c>
      <c r="I49" s="20">
        <f t="shared" si="12"/>
        <v>26844.795958296047</v>
      </c>
      <c r="J49" s="20">
        <f t="shared" si="13"/>
        <v>26424.604567472357</v>
      </c>
      <c r="K49" s="20">
        <f t="shared" si="14"/>
        <v>626.63843600604093</v>
      </c>
      <c r="L49" s="21">
        <f t="shared" si="15"/>
        <v>1</v>
      </c>
      <c r="M49" s="20">
        <f>SUM(I49:$I$77)</f>
        <v>257046.83989121357</v>
      </c>
      <c r="N49" s="20">
        <f>SUM(J49:$J$77)</f>
        <v>250392.97088734031</v>
      </c>
      <c r="O49" s="22">
        <f>IF(I49&lt;=0,0,(IF(A49&lt;$B$4,SUMPRODUCT(L49:$L$76,K49:$K$76),0)+베타후*(INDEX($M$16:$M$77,MAX(A49,$B$5)+1)-$M$77)-IF(A49&lt;=$B$5,$E$13*(N49-INDEX($N$16:$N$77,$B$5+1)),0))/I49)</f>
        <v>0.31414138457287311</v>
      </c>
      <c r="P49" s="6">
        <f t="shared" si="16"/>
        <v>31414</v>
      </c>
      <c r="Q49" s="7">
        <v>31414</v>
      </c>
      <c r="R49" s="6">
        <f t="shared" si="17"/>
        <v>0</v>
      </c>
    </row>
    <row r="50" spans="1:18" x14ac:dyDescent="0.45">
      <c r="A50">
        <v>34</v>
      </c>
      <c r="B50">
        <f t="shared" si="10"/>
        <v>74</v>
      </c>
      <c r="C50" s="19">
        <f>INDEX(위험률!$B:$B,B50+2)</f>
        <v>2.402E-2</v>
      </c>
      <c r="D50" s="19">
        <f>INDEX(위험률!$D:$D,B50+2)</f>
        <v>2.5020000000000001E-2</v>
      </c>
      <c r="E50" s="19">
        <f>INDEX(위험률!$C:$C,B50+2)</f>
        <v>1.294E-3</v>
      </c>
      <c r="F50" s="19">
        <f t="shared" si="11"/>
        <v>4.8739509799999997E-2</v>
      </c>
      <c r="G50" s="20">
        <f t="shared" si="18"/>
        <v>57848.093328193972</v>
      </c>
      <c r="H50" s="20">
        <f t="shared" si="19"/>
        <v>56870.482298730079</v>
      </c>
      <c r="I50" s="20">
        <f t="shared" si="12"/>
        <v>24984.900593312563</v>
      </c>
      <c r="J50" s="20">
        <f t="shared" si="13"/>
        <v>24562.665166269078</v>
      </c>
      <c r="K50" s="20">
        <f t="shared" si="14"/>
        <v>617.45171114977552</v>
      </c>
      <c r="L50" s="21">
        <f t="shared" si="15"/>
        <v>1</v>
      </c>
      <c r="M50" s="20">
        <f>SUM(I50:$I$77)</f>
        <v>230202.04393291753</v>
      </c>
      <c r="N50" s="20">
        <f>SUM(J50:$J$77)</f>
        <v>223968.36631986796</v>
      </c>
      <c r="O50" s="22">
        <f>IF(I50&lt;=0,0,(IF(A50&lt;$B$4,SUMPRODUCT(L50:$L$76,K50:$K$76),0)+베타후*(INDEX($M$16:$M$77,MAX(A50,$B$5)+1)-$M$77)-IF(A50&lt;=$B$5,$E$13*(N50-INDEX($N$16:$N$77,$B$5+1)),0))/I50)</f>
        <v>0.31137118636498901</v>
      </c>
      <c r="P50" s="6">
        <f t="shared" si="16"/>
        <v>31137</v>
      </c>
      <c r="Q50" s="7">
        <v>31137</v>
      </c>
      <c r="R50" s="6">
        <f t="shared" si="17"/>
        <v>0</v>
      </c>
    </row>
    <row r="51" spans="1:18" x14ac:dyDescent="0.45">
      <c r="A51">
        <v>35</v>
      </c>
      <c r="B51">
        <f t="shared" si="10"/>
        <v>75</v>
      </c>
      <c r="C51" s="19">
        <f>INDEX(위험률!$B:$B,B51+2)</f>
        <v>2.546E-2</v>
      </c>
      <c r="D51" s="19">
        <f>INDEX(위험률!$D:$D,B51+2)</f>
        <v>2.6433999999999999E-2</v>
      </c>
      <c r="E51" s="19">
        <f>INDEX(위험률!$C:$C,B51+2)</f>
        <v>1.3470000000000001E-3</v>
      </c>
      <c r="F51" s="19">
        <f t="shared" si="11"/>
        <v>5.1557495179999996E-2</v>
      </c>
      <c r="G51" s="20">
        <f t="shared" si="18"/>
        <v>55028.605616513152</v>
      </c>
      <c r="H51" s="20">
        <f t="shared" si="19"/>
        <v>54026.845845416625</v>
      </c>
      <c r="I51" s="20">
        <f t="shared" si="12"/>
        <v>23187.462230236863</v>
      </c>
      <c r="J51" s="20">
        <f t="shared" si="13"/>
        <v>22765.34964722965</v>
      </c>
      <c r="K51" s="20">
        <f t="shared" si="14"/>
        <v>605.41638775472984</v>
      </c>
      <c r="L51" s="21">
        <f t="shared" si="15"/>
        <v>1</v>
      </c>
      <c r="M51" s="20">
        <f>SUM(I51:$I$77)</f>
        <v>205217.14333960495</v>
      </c>
      <c r="N51" s="20">
        <f>SUM(J51:$J$77)</f>
        <v>199405.70115359884</v>
      </c>
      <c r="O51" s="22">
        <f>IF(I51&lt;=0,0,(IF(A51&lt;$B$4,SUMPRODUCT(L51:$L$76,K51:$K$76),0)+베타후*(INDEX($M$16:$M$77,MAX(A51,$B$5)+1)-$M$77)-IF(A51&lt;=$B$5,$E$13*(N51-INDEX($N$16:$N$77,$B$5+1)),0))/I51)</f>
        <v>0.30780175322079895</v>
      </c>
      <c r="P51" s="6">
        <f t="shared" si="16"/>
        <v>30780</v>
      </c>
      <c r="Q51" s="7">
        <v>30780</v>
      </c>
      <c r="R51" s="6">
        <f t="shared" si="17"/>
        <v>0</v>
      </c>
    </row>
    <row r="52" spans="1:18" x14ac:dyDescent="0.45">
      <c r="A52">
        <v>36</v>
      </c>
      <c r="B52">
        <f t="shared" si="10"/>
        <v>76</v>
      </c>
      <c r="C52" s="19">
        <f>INDEX(위험률!$B:$B,B52+2)</f>
        <v>2.7349999999999999E-2</v>
      </c>
      <c r="D52" s="19">
        <f>INDEX(위험률!$D:$D,B52+2)</f>
        <v>2.792E-2</v>
      </c>
      <c r="E52" s="19">
        <f>INDEX(위험률!$C:$C,B52+2)</f>
        <v>1.3929999999999999E-3</v>
      </c>
      <c r="F52" s="19">
        <f t="shared" si="11"/>
        <v>5.4888194000000001E-2</v>
      </c>
      <c r="G52" s="20">
        <f t="shared" si="18"/>
        <v>52191.468547677658</v>
      </c>
      <c r="H52" s="20">
        <f t="shared" si="19"/>
        <v>51170.458866533794</v>
      </c>
      <c r="I52" s="20">
        <f t="shared" si="12"/>
        <v>21455.585129819505</v>
      </c>
      <c r="J52" s="20">
        <f t="shared" si="13"/>
        <v>21035.854458471556</v>
      </c>
      <c r="K52" s="20">
        <f t="shared" si="14"/>
        <v>591.6894751767195</v>
      </c>
      <c r="L52" s="21">
        <f t="shared" si="15"/>
        <v>1</v>
      </c>
      <c r="M52" s="20">
        <f>SUM(I52:$I$77)</f>
        <v>182029.68110936807</v>
      </c>
      <c r="N52" s="20">
        <f>SUM(J52:$J$77)</f>
        <v>176640.35150636919</v>
      </c>
      <c r="O52" s="22">
        <f>IF(I52&lt;=0,0,(IF(A52&lt;$B$4,SUMPRODUCT(L52:$L$76,K52:$K$76),0)+베타후*(INDEX($M$16:$M$77,MAX(A52,$B$5)+1)-$M$77)-IF(A52&lt;=$B$5,$E$13*(N52-INDEX($N$16:$N$77,$B$5+1)),0))/I52)</f>
        <v>0.30334934413777737</v>
      </c>
      <c r="P52" s="6">
        <f t="shared" si="16"/>
        <v>30335</v>
      </c>
      <c r="Q52" s="7">
        <v>30335</v>
      </c>
      <c r="R52" s="6">
        <f t="shared" si="17"/>
        <v>0</v>
      </c>
    </row>
    <row r="53" spans="1:18" x14ac:dyDescent="0.45">
      <c r="A53">
        <v>37</v>
      </c>
      <c r="B53">
        <f t="shared" si="10"/>
        <v>77</v>
      </c>
      <c r="C53" s="19">
        <f>INDEX(위험률!$B:$B,B53+2)</f>
        <v>3.0009999999999998E-2</v>
      </c>
      <c r="D53" s="19">
        <f>INDEX(위험률!$D:$D,B53+2)</f>
        <v>2.9519E-2</v>
      </c>
      <c r="E53" s="19">
        <f>INDEX(위험률!$C:$C,B53+2)</f>
        <v>1.4369999999999999E-3</v>
      </c>
      <c r="F53" s="19">
        <f t="shared" si="11"/>
        <v>5.9086067404999998E-2</v>
      </c>
      <c r="G53" s="20">
        <f t="shared" si="18"/>
        <v>49326.773096887831</v>
      </c>
      <c r="H53" s="20">
        <f t="shared" si="19"/>
        <v>48292.480571559463</v>
      </c>
      <c r="I53" s="20">
        <f t="shared" si="12"/>
        <v>19783.343230078499</v>
      </c>
      <c r="J53" s="20">
        <f t="shared" si="13"/>
        <v>19368.522581083587</v>
      </c>
      <c r="K53" s="20">
        <f t="shared" si="14"/>
        <v>576.81878333521377</v>
      </c>
      <c r="L53" s="21">
        <f t="shared" si="15"/>
        <v>1</v>
      </c>
      <c r="M53" s="20">
        <f>SUM(I53:$I$77)</f>
        <v>160574.09597954855</v>
      </c>
      <c r="N53" s="20">
        <f>SUM(J53:$J$77)</f>
        <v>155604.49704789766</v>
      </c>
      <c r="O53" s="22">
        <f>IF(I53&lt;=0,0,(IF(A53&lt;$B$4,SUMPRODUCT(L53:$L$76,K53:$K$76),0)+베타후*(INDEX($M$16:$M$77,MAX(A53,$B$5)+1)-$M$77)-IF(A53&lt;=$B$5,$E$13*(N53-INDEX($N$16:$N$77,$B$5+1)),0))/I53)</f>
        <v>0.29799779280749328</v>
      </c>
      <c r="P53" s="6">
        <f t="shared" si="16"/>
        <v>29800</v>
      </c>
      <c r="Q53" s="7">
        <v>29800</v>
      </c>
      <c r="R53" s="6">
        <f t="shared" si="17"/>
        <v>0</v>
      </c>
    </row>
    <row r="54" spans="1:18" x14ac:dyDescent="0.45">
      <c r="A54">
        <v>38</v>
      </c>
      <c r="B54">
        <f t="shared" si="10"/>
        <v>78</v>
      </c>
      <c r="C54" s="19">
        <f>INDEX(위험률!$B:$B,B54+2)</f>
        <v>3.347E-2</v>
      </c>
      <c r="D54" s="19">
        <f>INDEX(위험률!$D:$D,B54+2)</f>
        <v>3.1297999999999999E-2</v>
      </c>
      <c r="E54" s="19">
        <f>INDEX(위험률!$C:$C,B54+2)</f>
        <v>1.4779999999999999E-3</v>
      </c>
      <c r="F54" s="19">
        <f t="shared" si="11"/>
        <v>6.4244227969999998E-2</v>
      </c>
      <c r="G54" s="20">
        <f t="shared" si="18"/>
        <v>46412.24805681398</v>
      </c>
      <c r="H54" s="20">
        <f t="shared" si="19"/>
        <v>45371.721691841965</v>
      </c>
      <c r="I54" s="20">
        <f t="shared" si="12"/>
        <v>18160.412954624229</v>
      </c>
      <c r="J54" s="20">
        <f t="shared" si="13"/>
        <v>17753.270674962736</v>
      </c>
      <c r="K54" s="20">
        <f t="shared" si="14"/>
        <v>561.41029629656362</v>
      </c>
      <c r="L54" s="21">
        <f t="shared" si="15"/>
        <v>1</v>
      </c>
      <c r="M54" s="20">
        <f>SUM(I54:$I$77)</f>
        <v>140790.75274947006</v>
      </c>
      <c r="N54" s="20">
        <f>SUM(J54:$J$77)</f>
        <v>136235.97446681405</v>
      </c>
      <c r="O54" s="22">
        <f>IF(I54&lt;=0,0,(IF(A54&lt;$B$4,SUMPRODUCT(L54:$L$76,K54:$K$76),0)+베타후*(INDEX($M$16:$M$77,MAX(A54,$B$5)+1)-$M$77)-IF(A54&lt;=$B$5,$E$13*(N54-INDEX($N$16:$N$77,$B$5+1)),0))/I54)</f>
        <v>0.29177698236217259</v>
      </c>
      <c r="P54" s="6">
        <f t="shared" si="16"/>
        <v>29178</v>
      </c>
      <c r="Q54" s="7">
        <v>29178</v>
      </c>
      <c r="R54" s="6">
        <f t="shared" si="17"/>
        <v>0</v>
      </c>
    </row>
    <row r="55" spans="1:18" x14ac:dyDescent="0.45">
      <c r="A55">
        <v>39</v>
      </c>
      <c r="B55">
        <f t="shared" si="10"/>
        <v>79</v>
      </c>
      <c r="C55" s="19">
        <f>INDEX(위험률!$B:$B,B55+2)</f>
        <v>3.7589999999999998E-2</v>
      </c>
      <c r="D55" s="19">
        <f>INDEX(위험률!$D:$D,B55+2)</f>
        <v>3.3236000000000002E-2</v>
      </c>
      <c r="E55" s="19">
        <f>INDEX(위험률!$C:$C,B55+2)</f>
        <v>1.519E-3</v>
      </c>
      <c r="F55" s="19">
        <f t="shared" si="11"/>
        <v>7.0201329379999997E-2</v>
      </c>
      <c r="G55" s="20">
        <f t="shared" si="18"/>
        <v>43430.529012051833</v>
      </c>
      <c r="H55" s="20">
        <f t="shared" si="19"/>
        <v>42391.945145259604</v>
      </c>
      <c r="I55" s="20">
        <f t="shared" si="12"/>
        <v>16579.230482671228</v>
      </c>
      <c r="J55" s="20">
        <f t="shared" si="13"/>
        <v>16182.760034467521</v>
      </c>
      <c r="K55" s="20">
        <f t="shared" si="14"/>
        <v>544.26597704094047</v>
      </c>
      <c r="L55" s="21">
        <f t="shared" si="15"/>
        <v>1</v>
      </c>
      <c r="M55" s="20">
        <f>SUM(I55:$I$77)</f>
        <v>122630.33979484586</v>
      </c>
      <c r="N55" s="20">
        <f>SUM(J55:$J$77)</f>
        <v>118482.70379185132</v>
      </c>
      <c r="O55" s="22">
        <f>IF(I55&lt;=0,0,(IF(A55&lt;$B$4,SUMPRODUCT(L55:$L$76,K55:$K$76),0)+베타후*(INDEX($M$16:$M$77,MAX(A55,$B$5)+1)-$M$77)-IF(A55&lt;=$B$5,$E$13*(N55-INDEX($N$16:$N$77,$B$5+1)),0))/I55)</f>
        <v>0.28464649104387268</v>
      </c>
      <c r="P55" s="6">
        <f t="shared" si="16"/>
        <v>28465</v>
      </c>
      <c r="Q55" s="7">
        <v>28465</v>
      </c>
      <c r="R55" s="6">
        <f t="shared" si="17"/>
        <v>0</v>
      </c>
    </row>
    <row r="56" spans="1:18" x14ac:dyDescent="0.45">
      <c r="A56">
        <v>40</v>
      </c>
      <c r="B56">
        <f t="shared" si="10"/>
        <v>80</v>
      </c>
      <c r="C56" s="19">
        <f>INDEX(위험률!$B:$B,B56+2)</f>
        <v>4.231E-2</v>
      </c>
      <c r="D56" s="19">
        <f>INDEX(위험률!$D:$D,B56+2)</f>
        <v>3.5185000000000001E-2</v>
      </c>
      <c r="E56" s="19">
        <f>INDEX(위험률!$C:$C,B56+2)</f>
        <v>1.57E-3</v>
      </c>
      <c r="F56" s="19">
        <f t="shared" si="11"/>
        <v>7.6750661325000011E-2</v>
      </c>
      <c r="G56" s="20">
        <f t="shared" si="18"/>
        <v>40381.648139729135</v>
      </c>
      <c r="H56" s="20">
        <f t="shared" si="19"/>
        <v>39353.841126284431</v>
      </c>
      <c r="I56" s="20">
        <f t="shared" si="12"/>
        <v>15039.362402624671</v>
      </c>
      <c r="J56" s="20">
        <f t="shared" si="13"/>
        <v>14656.575595566481</v>
      </c>
      <c r="K56" s="20">
        <f t="shared" si="14"/>
        <v>522.66695991496715</v>
      </c>
      <c r="L56" s="21">
        <f t="shared" si="15"/>
        <v>1</v>
      </c>
      <c r="M56" s="20">
        <f>SUM(I56:$I$77)</f>
        <v>106051.10931217464</v>
      </c>
      <c r="N56" s="20">
        <f>SUM(J56:$J$77)</f>
        <v>102299.94375738381</v>
      </c>
      <c r="O56" s="22">
        <f>IF(I56&lt;=0,0,(IF(A56&lt;$B$4,SUMPRODUCT(L56:$L$76,K56:$K$76),0)+베타후*(INDEX($M$16:$M$77,MAX(A56,$B$5)+1)-$M$77)-IF(A56&lt;=$B$5,$E$13*(N56-INDEX($N$16:$N$77,$B$5+1)),0))/I56)</f>
        <v>0.27649939287656528</v>
      </c>
      <c r="P56" s="6">
        <f t="shared" si="16"/>
        <v>27650</v>
      </c>
      <c r="Q56" s="7">
        <v>27650</v>
      </c>
      <c r="R56" s="6">
        <f t="shared" si="17"/>
        <v>0</v>
      </c>
    </row>
    <row r="57" spans="1:18" x14ac:dyDescent="0.45">
      <c r="A57">
        <v>41</v>
      </c>
      <c r="B57">
        <f t="shared" si="10"/>
        <v>81</v>
      </c>
      <c r="C57" s="19">
        <f>INDEX(위험률!$B:$B,B57+2)</f>
        <v>4.7710000000000002E-2</v>
      </c>
      <c r="D57" s="19">
        <f>INDEX(위험률!$D:$D,B57+2)</f>
        <v>3.6922999999999997E-2</v>
      </c>
      <c r="E57" s="19">
        <f>INDEX(위험률!$C:$C,B57+2)</f>
        <v>1.601E-3</v>
      </c>
      <c r="F57" s="19">
        <f t="shared" si="11"/>
        <v>8.3752201834999998E-2</v>
      </c>
      <c r="G57" s="20">
        <f t="shared" si="18"/>
        <v>37282.329939611467</v>
      </c>
      <c r="H57" s="20">
        <f t="shared" si="19"/>
        <v>36273.993303760573</v>
      </c>
      <c r="I57" s="20">
        <f t="shared" si="12"/>
        <v>13546.420870553062</v>
      </c>
      <c r="J57" s="20">
        <f t="shared" si="13"/>
        <v>13180.044829394725</v>
      </c>
      <c r="K57" s="20">
        <f t="shared" si="14"/>
        <v>494.03715496979407</v>
      </c>
      <c r="L57" s="21">
        <f t="shared" si="15"/>
        <v>1</v>
      </c>
      <c r="M57" s="20">
        <f>SUM(I57:$I$77)</f>
        <v>91011.746909549984</v>
      </c>
      <c r="N57" s="20">
        <f>SUM(J57:$J$77)</f>
        <v>87643.368161817314</v>
      </c>
      <c r="O57" s="22">
        <f>IF(I57&lt;=0,0,(IF(A57&lt;$B$4,SUMPRODUCT(L57:$L$76,K57:$K$76),0)+베타후*(INDEX($M$16:$M$77,MAX(A57,$B$5)+1)-$M$77)-IF(A57&lt;=$B$5,$E$13*(N57-INDEX($N$16:$N$77,$B$5+1)),0))/I57)</f>
        <v>0.2672785886292155</v>
      </c>
      <c r="P57" s="6">
        <f t="shared" si="16"/>
        <v>26728</v>
      </c>
      <c r="Q57" s="7">
        <v>26728</v>
      </c>
      <c r="R57" s="6">
        <f t="shared" si="17"/>
        <v>0</v>
      </c>
    </row>
    <row r="58" spans="1:18" x14ac:dyDescent="0.45">
      <c r="A58">
        <v>42</v>
      </c>
      <c r="B58">
        <f t="shared" si="10"/>
        <v>82</v>
      </c>
      <c r="C58" s="19">
        <f>INDEX(위험률!$B:$B,B58+2)</f>
        <v>5.3960000000000001E-2</v>
      </c>
      <c r="D58" s="19">
        <f>INDEX(위험률!$D:$D,B58+2)</f>
        <v>3.8261999999999997E-2</v>
      </c>
      <c r="E58" s="19">
        <f>INDEX(위험률!$C:$C,B58+2)</f>
        <v>1.637E-3</v>
      </c>
      <c r="F58" s="19">
        <f t="shared" si="11"/>
        <v>9.1189691239999995E-2</v>
      </c>
      <c r="G58" s="20">
        <f t="shared" si="18"/>
        <v>34159.852717630063</v>
      </c>
      <c r="H58" s="20">
        <f t="shared" si="19"/>
        <v>33180.323772403499</v>
      </c>
      <c r="I58" s="20">
        <f t="shared" si="12"/>
        <v>12109.149556742093</v>
      </c>
      <c r="J58" s="20">
        <f t="shared" si="13"/>
        <v>11761.921405878766</v>
      </c>
      <c r="K58" s="20">
        <f t="shared" si="14"/>
        <v>457.63515361986856</v>
      </c>
      <c r="L58" s="21">
        <f t="shared" si="15"/>
        <v>1</v>
      </c>
      <c r="M58" s="20">
        <f>SUM(I58:$I$77)</f>
        <v>77465.326038996922</v>
      </c>
      <c r="N58" s="20">
        <f>SUM(J58:$J$77)</f>
        <v>74463.323332422602</v>
      </c>
      <c r="O58" s="22">
        <f>IF(I58&lt;=0,0,(IF(A58&lt;$B$4,SUMPRODUCT(L58:$L$76,K58:$K$76),0)+베타후*(INDEX($M$16:$M$77,MAX(A58,$B$5)+1)-$M$77)-IF(A58&lt;=$B$5,$E$13*(N58-INDEX($N$16:$N$77,$B$5+1)),0))/I58)</f>
        <v>0.25708532715950572</v>
      </c>
      <c r="P58" s="6">
        <f t="shared" si="16"/>
        <v>25709</v>
      </c>
      <c r="Q58" s="7">
        <v>25709</v>
      </c>
      <c r="R58" s="6">
        <f t="shared" si="17"/>
        <v>0</v>
      </c>
    </row>
    <row r="59" spans="1:18" x14ac:dyDescent="0.45">
      <c r="A59">
        <v>43</v>
      </c>
      <c r="B59">
        <f t="shared" si="10"/>
        <v>83</v>
      </c>
      <c r="C59" s="19">
        <f>INDEX(위험률!$B:$B,B59+2)</f>
        <v>6.1100000000000002E-2</v>
      </c>
      <c r="D59" s="19">
        <f>INDEX(위험률!$D:$D,B59+2)</f>
        <v>3.9146E-2</v>
      </c>
      <c r="E59" s="19">
        <f>INDEX(위험률!$C:$C,B59+2)</f>
        <v>1.6969999999999999E-3</v>
      </c>
      <c r="F59" s="19">
        <f t="shared" si="11"/>
        <v>9.9050089699999996E-2</v>
      </c>
      <c r="G59" s="20">
        <f t="shared" si="18"/>
        <v>31044.826295505503</v>
      </c>
      <c r="H59" s="20">
        <f t="shared" si="19"/>
        <v>30102.780640637789</v>
      </c>
      <c r="I59" s="20">
        <f t="shared" si="12"/>
        <v>10736.507265837854</v>
      </c>
      <c r="J59" s="20">
        <f t="shared" si="13"/>
        <v>10410.711272587201</v>
      </c>
      <c r="K59" s="20">
        <f t="shared" si="14"/>
        <v>415.13416948804775</v>
      </c>
      <c r="L59" s="21">
        <f t="shared" si="15"/>
        <v>1</v>
      </c>
      <c r="M59" s="20">
        <f>SUM(I59:$I$77)</f>
        <v>65356.176482254821</v>
      </c>
      <c r="N59" s="20">
        <f>SUM(J59:$J$77)</f>
        <v>62701.401926543855</v>
      </c>
      <c r="O59" s="22">
        <f>IF(I59&lt;=0,0,(IF(A59&lt;$B$4,SUMPRODUCT(L59:$L$76,K59:$K$76),0)+베타후*(INDEX($M$16:$M$77,MAX(A59,$B$5)+1)-$M$77)-IF(A59&lt;=$B$5,$E$13*(N59-INDEX($N$16:$N$77,$B$5+1)),0))/I59)</f>
        <v>0.24620114407714069</v>
      </c>
      <c r="P59" s="6">
        <f t="shared" si="16"/>
        <v>24620</v>
      </c>
      <c r="Q59" s="7">
        <v>24620</v>
      </c>
      <c r="R59" s="6">
        <f t="shared" si="17"/>
        <v>0</v>
      </c>
    </row>
    <row r="60" spans="1:18" x14ac:dyDescent="0.45">
      <c r="A60">
        <v>44</v>
      </c>
      <c r="B60">
        <f t="shared" si="10"/>
        <v>84</v>
      </c>
      <c r="C60" s="19">
        <f>INDEX(위험률!$B:$B,B60+2)</f>
        <v>6.905E-2</v>
      </c>
      <c r="D60" s="19">
        <f>INDEX(위험률!$D:$D,B60+2)</f>
        <v>3.9649999999999998E-2</v>
      </c>
      <c r="E60" s="19">
        <f>INDEX(위험률!$C:$C,B60+2)</f>
        <v>1.805E-3</v>
      </c>
      <c r="F60" s="19">
        <f t="shared" si="11"/>
        <v>0.10733108374999999</v>
      </c>
      <c r="G60" s="20">
        <f t="shared" si="18"/>
        <v>27969.833466214764</v>
      </c>
      <c r="H60" s="20">
        <f t="shared" si="19"/>
        <v>27072.543057345621</v>
      </c>
      <c r="I60" s="20">
        <f t="shared" si="12"/>
        <v>9437.1270810652823</v>
      </c>
      <c r="J60" s="20">
        <f t="shared" si="13"/>
        <v>9134.3779199968903</v>
      </c>
      <c r="K60" s="20">
        <f t="shared" si="14"/>
        <v>369.5907236086025</v>
      </c>
      <c r="L60" s="21">
        <f t="shared" si="15"/>
        <v>1</v>
      </c>
      <c r="M60" s="20">
        <f>SUM(I60:$I$77)</f>
        <v>54619.669216416973</v>
      </c>
      <c r="N60" s="20">
        <f>SUM(J60:$J$77)</f>
        <v>52290.69065395667</v>
      </c>
      <c r="O60" s="22">
        <f>IF(I60&lt;=0,0,(IF(A60&lt;$B$4,SUMPRODUCT(L60:$L$76,K60:$K$76),0)+베타후*(INDEX($M$16:$M$77,MAX(A60,$B$5)+1)-$M$77)-IF(A60&lt;=$B$5,$E$13*(N60-INDEX($N$16:$N$77,$B$5+1)),0))/I60)</f>
        <v>0.23497296120310543</v>
      </c>
      <c r="P60" s="6">
        <f t="shared" si="16"/>
        <v>23497</v>
      </c>
      <c r="Q60" s="7">
        <v>23497</v>
      </c>
      <c r="R60" s="6">
        <f t="shared" si="17"/>
        <v>0</v>
      </c>
    </row>
    <row r="61" spans="1:18" x14ac:dyDescent="0.45">
      <c r="A61">
        <v>45</v>
      </c>
      <c r="B61">
        <f t="shared" si="10"/>
        <v>85</v>
      </c>
      <c r="C61" s="19">
        <f>INDEX(위험률!$B:$B,B61+2)</f>
        <v>7.7729999999999994E-2</v>
      </c>
      <c r="D61" s="19">
        <f>INDEX(위험률!$D:$D,B61+2)</f>
        <v>3.9917000000000001E-2</v>
      </c>
      <c r="E61" s="19">
        <f>INDEX(위험률!$C:$C,B61+2)</f>
        <v>1.98E-3</v>
      </c>
      <c r="F61" s="19">
        <f t="shared" si="11"/>
        <v>0.116095625795</v>
      </c>
      <c r="G61" s="20">
        <f t="shared" si="18"/>
        <v>24967.800927978915</v>
      </c>
      <c r="H61" s="20">
        <f t="shared" si="19"/>
        <v>24120.574148074727</v>
      </c>
      <c r="I61" s="20">
        <f t="shared" si="12"/>
        <v>8218.7609794810433</v>
      </c>
      <c r="J61" s="20">
        <f t="shared" si="13"/>
        <v>7939.8756094985802</v>
      </c>
      <c r="K61" s="20">
        <f t="shared" si="14"/>
        <v>324.04275187110881</v>
      </c>
      <c r="L61" s="21">
        <f t="shared" si="15"/>
        <v>1</v>
      </c>
      <c r="M61" s="20">
        <f>SUM(I61:$I$77)</f>
        <v>45182.542135351687</v>
      </c>
      <c r="N61" s="20">
        <f>SUM(J61:$J$77)</f>
        <v>43156.31273395977</v>
      </c>
      <c r="O61" s="22">
        <f>IF(I61&lt;=0,0,(IF(A61&lt;$B$4,SUMPRODUCT(L61:$L$76,K61:$K$76),0)+베타후*(INDEX($M$16:$M$77,MAX(A61,$B$5)+1)-$M$77)-IF(A61&lt;=$B$5,$E$13*(N61-INDEX($N$16:$N$77,$B$5+1)),0))/I61)</f>
        <v>0.22368844274558103</v>
      </c>
      <c r="P61" s="6">
        <f t="shared" si="16"/>
        <v>22369</v>
      </c>
      <c r="Q61" s="7">
        <v>22369</v>
      </c>
      <c r="R61" s="6">
        <f t="shared" si="17"/>
        <v>0</v>
      </c>
    </row>
    <row r="62" spans="1:18" x14ac:dyDescent="0.45">
      <c r="A62">
        <v>46</v>
      </c>
      <c r="B62">
        <f t="shared" si="10"/>
        <v>86</v>
      </c>
      <c r="C62" s="19">
        <f>INDEX(위험률!$B:$B,B62+2)</f>
        <v>8.7220000000000006E-2</v>
      </c>
      <c r="D62" s="19">
        <f>INDEX(위험률!$D:$D,B62+2)</f>
        <v>4.0087999999999999E-2</v>
      </c>
      <c r="E62" s="19">
        <f>INDEX(위험률!$C:$C,B62+2)</f>
        <v>2.2239999999999998E-3</v>
      </c>
      <c r="F62" s="19">
        <f t="shared" si="11"/>
        <v>0.12555976232000002</v>
      </c>
      <c r="G62" s="20">
        <f t="shared" si="18"/>
        <v>22069.148454520222</v>
      </c>
      <c r="H62" s="20">
        <f t="shared" si="19"/>
        <v>21275.294551224859</v>
      </c>
      <c r="I62" s="20">
        <f t="shared" si="12"/>
        <v>7087.4134442035784</v>
      </c>
      <c r="J62" s="20">
        <f t="shared" si="13"/>
        <v>6832.4706294165107</v>
      </c>
      <c r="K62" s="20">
        <f t="shared" si="14"/>
        <v>280.63396032726621</v>
      </c>
      <c r="L62" s="21">
        <f t="shared" si="15"/>
        <v>1</v>
      </c>
      <c r="M62" s="20">
        <f>SUM(I62:$I$77)</f>
        <v>36963.781155870645</v>
      </c>
      <c r="N62" s="20">
        <f>SUM(J62:$J$77)</f>
        <v>35216.437124461183</v>
      </c>
      <c r="O62" s="22">
        <f>IF(I62&lt;=0,0,(IF(A62&lt;$B$4,SUMPRODUCT(L62:$L$76,K62:$K$76),0)+베타후*(INDEX($M$16:$M$77,MAX(A62,$B$5)+1)-$M$77)-IF(A62&lt;=$B$5,$E$13*(N62-INDEX($N$16:$N$77,$B$5+1)),0))/I62)</f>
        <v>0.21251481147603943</v>
      </c>
      <c r="P62" s="6">
        <f t="shared" si="16"/>
        <v>21251</v>
      </c>
      <c r="Q62" s="7">
        <v>21251</v>
      </c>
      <c r="R62" s="6">
        <f t="shared" si="17"/>
        <v>0</v>
      </c>
    </row>
    <row r="63" spans="1:18" x14ac:dyDescent="0.45">
      <c r="A63">
        <v>47</v>
      </c>
      <c r="B63">
        <f t="shared" si="10"/>
        <v>87</v>
      </c>
      <c r="C63" s="19">
        <f>INDEX(위험률!$B:$B,B63+2)</f>
        <v>9.7739999999999994E-2</v>
      </c>
      <c r="D63" s="19">
        <f>INDEX(위험률!$D:$D,B63+2)</f>
        <v>4.0238999999999997E-2</v>
      </c>
      <c r="E63" s="19">
        <f>INDEX(위험률!$C:$C,B63+2)</f>
        <v>2.5330000000000001E-3</v>
      </c>
      <c r="F63" s="19">
        <f t="shared" si="11"/>
        <v>0.13601252007</v>
      </c>
      <c r="G63" s="20">
        <f t="shared" si="18"/>
        <v>19298.151419965867</v>
      </c>
      <c r="H63" s="20">
        <f t="shared" si="19"/>
        <v>18559.627877874129</v>
      </c>
      <c r="I63" s="20">
        <f t="shared" si="12"/>
        <v>6046.3604845715163</v>
      </c>
      <c r="J63" s="20">
        <f t="shared" si="13"/>
        <v>5814.9715051478506</v>
      </c>
      <c r="K63" s="20">
        <f t="shared" si="14"/>
        <v>240.31411654438102</v>
      </c>
      <c r="L63" s="21">
        <f t="shared" si="15"/>
        <v>1</v>
      </c>
      <c r="M63" s="20">
        <f>SUM(I63:$I$77)</f>
        <v>29876.367711667062</v>
      </c>
      <c r="N63" s="20">
        <f>SUM(J63:$J$77)</f>
        <v>28383.966495044668</v>
      </c>
      <c r="O63" s="22">
        <f>IF(I63&lt;=0,0,(IF(A63&lt;$B$4,SUMPRODUCT(L63:$L$76,K63:$K$76),0)+베타후*(INDEX($M$16:$M$77,MAX(A63,$B$5)+1)-$M$77)-IF(A63&lt;=$B$5,$E$13*(N63-INDEX($N$16:$N$77,$B$5+1)),0))/I63)</f>
        <v>0.20151940349658934</v>
      </c>
      <c r="P63" s="6">
        <f t="shared" si="16"/>
        <v>20152</v>
      </c>
      <c r="Q63" s="7">
        <v>20152</v>
      </c>
      <c r="R63" s="6">
        <f t="shared" si="17"/>
        <v>0</v>
      </c>
    </row>
    <row r="64" spans="1:18" x14ac:dyDescent="0.45">
      <c r="A64">
        <v>48</v>
      </c>
      <c r="B64">
        <f t="shared" si="10"/>
        <v>88</v>
      </c>
      <c r="C64" s="19">
        <f>INDEX(위험률!$B:$B,B64+2)</f>
        <v>0.10926</v>
      </c>
      <c r="D64" s="19">
        <f>INDEX(위험률!$D:$D,B64+2)</f>
        <v>4.0361000000000001E-2</v>
      </c>
      <c r="E64" s="19">
        <f>INDEX(위험률!$C:$C,B64+2)</f>
        <v>2.8909999999999999E-3</v>
      </c>
      <c r="F64" s="19">
        <f t="shared" si="11"/>
        <v>0.14741607857</v>
      </c>
      <c r="G64" s="20">
        <f t="shared" si="18"/>
        <v>16673.36121264386</v>
      </c>
      <c r="H64" s="20">
        <f t="shared" si="19"/>
        <v>15991.471660066454</v>
      </c>
      <c r="I64" s="20">
        <f t="shared" si="12"/>
        <v>5096.5656173788075</v>
      </c>
      <c r="J64" s="20">
        <f t="shared" si="13"/>
        <v>4888.1316487150434</v>
      </c>
      <c r="K64" s="20">
        <f t="shared" si="14"/>
        <v>203.17843242332987</v>
      </c>
      <c r="L64" s="21">
        <f t="shared" si="15"/>
        <v>1</v>
      </c>
      <c r="M64" s="20">
        <f>SUM(I64:$I$77)</f>
        <v>23830.007227095546</v>
      </c>
      <c r="N64" s="20">
        <f>SUM(J64:$J$77)</f>
        <v>22568.994989896815</v>
      </c>
      <c r="O64" s="22">
        <f>IF(I64&lt;=0,0,(IF(A64&lt;$B$4,SUMPRODUCT(L64:$L$76,K64:$K$76),0)+베타후*(INDEX($M$16:$M$77,MAX(A64,$B$5)+1)-$M$77)-IF(A64&lt;=$B$5,$E$13*(N64-INDEX($N$16:$N$77,$B$5+1)),0))/I64)</f>
        <v>0.19073598853166615</v>
      </c>
      <c r="P64" s="6">
        <f t="shared" si="16"/>
        <v>19074</v>
      </c>
      <c r="Q64" s="7">
        <v>19074</v>
      </c>
      <c r="R64" s="6">
        <f t="shared" si="17"/>
        <v>0</v>
      </c>
    </row>
    <row r="65" spans="1:18" x14ac:dyDescent="0.45">
      <c r="A65">
        <v>49</v>
      </c>
      <c r="B65">
        <f t="shared" si="10"/>
        <v>89</v>
      </c>
      <c r="C65" s="19">
        <f>INDEX(위험률!$B:$B,B65+2)</f>
        <v>0.12171</v>
      </c>
      <c r="D65" s="19">
        <f>INDEX(위험률!$D:$D,B65+2)</f>
        <v>4.0418999999999997E-2</v>
      </c>
      <c r="E65" s="19">
        <f>INDEX(위험률!$C:$C,B65+2)</f>
        <v>3.2829999999999999E-3</v>
      </c>
      <c r="F65" s="19">
        <f t="shared" si="11"/>
        <v>0.15966930175499999</v>
      </c>
      <c r="G65" s="20">
        <f t="shared" si="18"/>
        <v>14215.439686094762</v>
      </c>
      <c r="H65" s="20">
        <f t="shared" si="19"/>
        <v>13591.247894568627</v>
      </c>
      <c r="I65" s="20">
        <f t="shared" si="12"/>
        <v>4239.2681950147635</v>
      </c>
      <c r="J65" s="20">
        <f t="shared" si="13"/>
        <v>4053.1243635302963</v>
      </c>
      <c r="K65" s="20">
        <f t="shared" si="14"/>
        <v>169.24448460241805</v>
      </c>
      <c r="L65" s="21">
        <f t="shared" si="15"/>
        <v>1</v>
      </c>
      <c r="M65" s="20">
        <f>SUM(I65:$I$77)</f>
        <v>18733.441609716741</v>
      </c>
      <c r="N65" s="20">
        <f>SUM(J65:$J$77)</f>
        <v>17680.863341181775</v>
      </c>
      <c r="O65" s="22">
        <f>IF(I65&lt;=0,0,(IF(A65&lt;$B$4,SUMPRODUCT(L65:$L$76,K65:$K$76),0)+베타후*(INDEX($M$16:$M$77,MAX(A65,$B$5)+1)-$M$77)-IF(A65&lt;=$B$5,$E$13*(N65-INDEX($N$16:$N$77,$B$5+1)),0))/I65)</f>
        <v>0.18017814584242872</v>
      </c>
      <c r="P65" s="6">
        <f t="shared" si="16"/>
        <v>18018</v>
      </c>
      <c r="Q65" s="7">
        <v>18018</v>
      </c>
      <c r="R65" s="6">
        <f t="shared" si="17"/>
        <v>0</v>
      </c>
    </row>
    <row r="66" spans="1:18" x14ac:dyDescent="0.45">
      <c r="A66">
        <v>50</v>
      </c>
      <c r="B66">
        <f t="shared" si="10"/>
        <v>90</v>
      </c>
      <c r="C66" s="19">
        <f>INDEX(위험률!$B:$B,B66+2)</f>
        <v>0.1351</v>
      </c>
      <c r="D66" s="19">
        <f>INDEX(위험률!$D:$D,B66+2)</f>
        <v>4.0439000000000003E-2</v>
      </c>
      <c r="E66" s="19">
        <f>INDEX(위험률!$C:$C,B66+2)</f>
        <v>3.702E-3</v>
      </c>
      <c r="F66" s="19">
        <f t="shared" si="11"/>
        <v>0.17280734554999999</v>
      </c>
      <c r="G66" s="20">
        <f t="shared" si="18"/>
        <v>11945.670357275696</v>
      </c>
      <c r="H66" s="20">
        <f t="shared" si="19"/>
        <v>11380.084993884004</v>
      </c>
      <c r="I66" s="20">
        <f t="shared" si="12"/>
        <v>3475.4997096239786</v>
      </c>
      <c r="J66" s="20">
        <f t="shared" si="13"/>
        <v>3310.9470551939853</v>
      </c>
      <c r="K66" s="20">
        <f t="shared" si="14"/>
        <v>138.82117992737091</v>
      </c>
      <c r="L66" s="21">
        <f t="shared" si="15"/>
        <v>1</v>
      </c>
      <c r="M66" s="20">
        <f>SUM(I66:$I$77)</f>
        <v>14494.17341470198</v>
      </c>
      <c r="N66" s="20">
        <f>SUM(J66:$J$77)</f>
        <v>13627.738977651479</v>
      </c>
      <c r="O66" s="22">
        <f>IF(I66&lt;=0,0,(IF(A66&lt;$B$4,SUMPRODUCT(L66:$L$76,K66:$K$76),0)+베타후*(INDEX($M$16:$M$77,MAX(A66,$B$5)+1)-$M$77)-IF(A66&lt;=$B$5,$E$13*(N66-INDEX($N$16:$N$77,$B$5+1)),0))/I66)</f>
        <v>0.16985751104349159</v>
      </c>
      <c r="P66" s="6">
        <f t="shared" si="16"/>
        <v>16986</v>
      </c>
      <c r="Q66" s="7">
        <v>16986</v>
      </c>
      <c r="R66" s="6">
        <f t="shared" si="17"/>
        <v>0</v>
      </c>
    </row>
    <row r="67" spans="1:18" x14ac:dyDescent="0.45">
      <c r="A67">
        <v>51</v>
      </c>
      <c r="B67">
        <f t="shared" si="10"/>
        <v>91</v>
      </c>
      <c r="C67" s="19">
        <f>INDEX(위험률!$B:$B,B67+2)</f>
        <v>0.14968999999999999</v>
      </c>
      <c r="D67" s="19">
        <f>INDEX(위험률!$D:$D,B67+2)</f>
        <v>4.0446000000000003E-2</v>
      </c>
      <c r="E67" s="19">
        <f>INDEX(위험률!$C:$C,B67+2)</f>
        <v>4.1390000000000003E-3</v>
      </c>
      <c r="F67" s="19">
        <f t="shared" si="11"/>
        <v>0.18710881912999999</v>
      </c>
      <c r="G67" s="20">
        <f t="shared" si="18"/>
        <v>9881.3707720195634</v>
      </c>
      <c r="H67" s="20">
        <f t="shared" si="19"/>
        <v>9375.0337460903065</v>
      </c>
      <c r="I67" s="20">
        <f t="shared" si="12"/>
        <v>2804.7881271649399</v>
      </c>
      <c r="J67" s="20">
        <f t="shared" si="13"/>
        <v>2661.0663590584559</v>
      </c>
      <c r="K67" s="20">
        <f t="shared" si="14"/>
        <v>112.05047584279485</v>
      </c>
      <c r="L67" s="21">
        <f t="shared" si="15"/>
        <v>1</v>
      </c>
      <c r="M67" s="20">
        <f>SUM(I67:$I$77)</f>
        <v>11018.673705078001</v>
      </c>
      <c r="N67" s="20">
        <f>SUM(J67:$J$77)</f>
        <v>10316.791922457493</v>
      </c>
      <c r="O67" s="22">
        <f>IF(I67&lt;=0,0,(IF(A67&lt;$B$4,SUMPRODUCT(L67:$L$76,K67:$K$76),0)+베타후*(INDEX($M$16:$M$77,MAX(A67,$B$5)+1)-$M$77)-IF(A67&lt;=$B$5,$E$13*(N67-INDEX($N$16:$N$77,$B$5+1)),0))/I67)</f>
        <v>0.15974220880811796</v>
      </c>
      <c r="P67" s="6">
        <f t="shared" si="16"/>
        <v>15974</v>
      </c>
      <c r="Q67" s="7">
        <v>15974</v>
      </c>
      <c r="R67" s="6">
        <f t="shared" si="17"/>
        <v>0</v>
      </c>
    </row>
    <row r="68" spans="1:18" x14ac:dyDescent="0.45">
      <c r="A68">
        <v>52</v>
      </c>
      <c r="B68">
        <f t="shared" si="10"/>
        <v>92</v>
      </c>
      <c r="C68" s="19">
        <f>INDEX(위험률!$B:$B,B68+2)</f>
        <v>0.16591</v>
      </c>
      <c r="D68" s="19">
        <f>INDEX(위험률!$D:$D,B68+2)</f>
        <v>4.0454999999999998E-2</v>
      </c>
      <c r="E68" s="19">
        <f>INDEX(위험률!$C:$C,B68+2)</f>
        <v>4.5799999999999999E-3</v>
      </c>
      <c r="F68" s="19">
        <f t="shared" si="11"/>
        <v>0.20300905547500001</v>
      </c>
      <c r="G68" s="20">
        <f t="shared" si="18"/>
        <v>8032.4791554812864</v>
      </c>
      <c r="H68" s="20">
        <f t="shared" si="19"/>
        <v>7585.7092043962521</v>
      </c>
      <c r="I68" s="20">
        <f t="shared" si="12"/>
        <v>2224.3780807622084</v>
      </c>
      <c r="J68" s="20">
        <f t="shared" si="13"/>
        <v>2100.657213630097</v>
      </c>
      <c r="K68" s="20">
        <f t="shared" si="14"/>
        <v>88.883035829648762</v>
      </c>
      <c r="L68" s="21">
        <f t="shared" si="15"/>
        <v>1</v>
      </c>
      <c r="M68" s="20">
        <f>SUM(I68:$I$77)</f>
        <v>8213.8855779130608</v>
      </c>
      <c r="N68" s="20">
        <f>SUM(J68:$J$77)</f>
        <v>7655.7255633990371</v>
      </c>
      <c r="O68" s="22">
        <f>IF(I68&lt;=0,0,(IF(A68&lt;$B$4,SUMPRODUCT(L68:$L$76,K68:$K$76),0)+베타후*(INDEX($M$16:$M$77,MAX(A68,$B$5)+1)-$M$77)-IF(A68&lt;=$B$5,$E$13*(N68-INDEX($N$16:$N$77,$B$5+1)),0))/I68)</f>
        <v>0.14978918808082373</v>
      </c>
      <c r="P68" s="6">
        <f t="shared" si="16"/>
        <v>14979</v>
      </c>
      <c r="Q68" s="7">
        <v>14979</v>
      </c>
      <c r="R68" s="6">
        <f t="shared" si="17"/>
        <v>0</v>
      </c>
    </row>
    <row r="69" spans="1:18" x14ac:dyDescent="0.45">
      <c r="A69">
        <v>53</v>
      </c>
      <c r="B69">
        <f t="shared" si="10"/>
        <v>93</v>
      </c>
      <c r="C69" s="19">
        <f>INDEX(위험률!$B:$B,B69+2)</f>
        <v>0.18379000000000001</v>
      </c>
      <c r="D69" s="19">
        <f>INDEX(위험률!$D:$D,B69+2)</f>
        <v>4.0466000000000002E-2</v>
      </c>
      <c r="E69" s="19">
        <f>INDEX(위험률!$C:$C,B69+2)</f>
        <v>5.006E-3</v>
      </c>
      <c r="F69" s="19">
        <f t="shared" si="11"/>
        <v>0.22053737693</v>
      </c>
      <c r="G69" s="20">
        <f t="shared" si="18"/>
        <v>6401.8131490044043</v>
      </c>
      <c r="H69" s="20">
        <f t="shared" si="19"/>
        <v>6014.5255214906056</v>
      </c>
      <c r="I69" s="20">
        <f t="shared" si="12"/>
        <v>1729.5699390901261</v>
      </c>
      <c r="J69" s="20">
        <f t="shared" si="13"/>
        <v>1624.9369198596955</v>
      </c>
      <c r="K69" s="20">
        <f t="shared" si="14"/>
        <v>69.129986629524595</v>
      </c>
      <c r="L69" s="21">
        <f t="shared" si="15"/>
        <v>1</v>
      </c>
      <c r="M69" s="20">
        <f>SUM(I69:$I$77)</f>
        <v>5989.507497150852</v>
      </c>
      <c r="N69" s="20">
        <f>SUM(J69:$J$77)</f>
        <v>5555.0683497689397</v>
      </c>
      <c r="O69" s="22">
        <f>IF(I69&lt;=0,0,(IF(A69&lt;$B$4,SUMPRODUCT(L69:$L$76,K69:$K$76),0)+베타후*(INDEX($M$16:$M$77,MAX(A69,$B$5)+1)-$M$77)-IF(A69&lt;=$B$5,$E$13*(N69-INDEX($N$16:$N$77,$B$5+1)),0))/I69)</f>
        <v>0.13996564540147605</v>
      </c>
      <c r="P69" s="6">
        <f t="shared" si="16"/>
        <v>13997</v>
      </c>
      <c r="Q69" s="7">
        <v>13997</v>
      </c>
      <c r="R69" s="6">
        <f t="shared" si="17"/>
        <v>0</v>
      </c>
    </row>
    <row r="70" spans="1:18" x14ac:dyDescent="0.45">
      <c r="A70">
        <v>54</v>
      </c>
      <c r="B70">
        <f t="shared" si="10"/>
        <v>94</v>
      </c>
      <c r="C70" s="19">
        <f>INDEX(위험률!$B:$B,B70+2)</f>
        <v>0.20316999999999999</v>
      </c>
      <c r="D70" s="19">
        <f>INDEX(위험률!$D:$D,B70+2)</f>
        <v>4.0469999999999999E-2</v>
      </c>
      <c r="E70" s="19">
        <f>INDEX(위험률!$C:$C,B70+2)</f>
        <v>5.4019999999999997E-3</v>
      </c>
      <c r="F70" s="19">
        <f t="shared" si="11"/>
        <v>0.23952885504999999</v>
      </c>
      <c r="G70" s="20">
        <f t="shared" si="18"/>
        <v>4989.9740695269902</v>
      </c>
      <c r="H70" s="20">
        <f t="shared" si="19"/>
        <v>4661.3091732299617</v>
      </c>
      <c r="I70" s="20">
        <f t="shared" si="12"/>
        <v>1315.2537770792292</v>
      </c>
      <c r="J70" s="20">
        <f t="shared" si="13"/>
        <v>1228.6245200480405</v>
      </c>
      <c r="K70" s="20">
        <f t="shared" si="14"/>
        <v>52.575187397934094</v>
      </c>
      <c r="L70" s="21">
        <f t="shared" si="15"/>
        <v>1</v>
      </c>
      <c r="M70" s="20">
        <f>SUM(I70:$I$77)</f>
        <v>4259.9375580607266</v>
      </c>
      <c r="N70" s="20">
        <f>SUM(J70:$J$77)</f>
        <v>3930.1314299092433</v>
      </c>
      <c r="O70" s="22">
        <f>IF(I70&lt;=0,0,(IF(A70&lt;$B$4,SUMPRODUCT(L70:$L$76,K70:$K$76),0)+베타후*(INDEX($M$16:$M$77,MAX(A70,$B$5)+1)-$M$77)-IF(A70&lt;=$B$5,$E$13*(N70-INDEX($N$16:$N$77,$B$5+1)),0))/I70)</f>
        <v>0.13018082077160409</v>
      </c>
      <c r="P70" s="6">
        <f t="shared" si="16"/>
        <v>13018</v>
      </c>
      <c r="Q70" s="7">
        <v>13018</v>
      </c>
      <c r="R70" s="6">
        <f t="shared" si="17"/>
        <v>0</v>
      </c>
    </row>
    <row r="71" spans="1:18" x14ac:dyDescent="0.45">
      <c r="A71">
        <v>55</v>
      </c>
      <c r="B71">
        <f t="shared" si="10"/>
        <v>95</v>
      </c>
      <c r="C71" s="19">
        <f>INDEX(위험률!$B:$B,B71+2)</f>
        <v>0.22392000000000001</v>
      </c>
      <c r="D71" s="19">
        <f>INDEX(위험률!$D:$D,B71+2)</f>
        <v>4.0472000000000001E-2</v>
      </c>
      <c r="E71" s="19">
        <f>INDEX(위험률!$C:$C,B71+2)</f>
        <v>5.7590000000000002E-3</v>
      </c>
      <c r="F71" s="19">
        <f t="shared" si="11"/>
        <v>0.25986075487999999</v>
      </c>
      <c r="G71" s="20">
        <f t="shared" si="18"/>
        <v>3794.7312939240014</v>
      </c>
      <c r="H71" s="20">
        <f t="shared" si="19"/>
        <v>3522.6264470294918</v>
      </c>
      <c r="I71" s="20">
        <f t="shared" si="12"/>
        <v>975.81711781000377</v>
      </c>
      <c r="J71" s="20">
        <f t="shared" si="13"/>
        <v>905.84521548746466</v>
      </c>
      <c r="K71" s="20">
        <f t="shared" si="14"/>
        <v>39.008672034669779</v>
      </c>
      <c r="L71" s="21">
        <f t="shared" si="15"/>
        <v>1</v>
      </c>
      <c r="M71" s="20">
        <f>SUM(I71:$I$77)</f>
        <v>2944.683780981497</v>
      </c>
      <c r="N71" s="20">
        <f>SUM(J71:$J$77)</f>
        <v>2701.506909861203</v>
      </c>
      <c r="O71" s="22">
        <f>IF(I71&lt;=0,0,(IF(A71&lt;$B$4,SUMPRODUCT(L71:$L$76,K71:$K$76),0)+베타후*(INDEX($M$16:$M$77,MAX(A71,$B$5)+1)-$M$77)-IF(A71&lt;=$B$5,$E$13*(N71-INDEX($N$16:$N$77,$B$5+1)),0))/I71)</f>
        <v>0.12023807833114679</v>
      </c>
      <c r="P71" s="6">
        <f t="shared" si="16"/>
        <v>12024</v>
      </c>
      <c r="Q71" s="7">
        <v>12024</v>
      </c>
      <c r="R71" s="6">
        <f t="shared" si="17"/>
        <v>0</v>
      </c>
    </row>
    <row r="72" spans="1:18" x14ac:dyDescent="0.45">
      <c r="A72">
        <v>56</v>
      </c>
      <c r="B72">
        <f t="shared" si="10"/>
        <v>96</v>
      </c>
      <c r="C72" s="19">
        <f>INDEX(위험률!$B:$B,B72+2)</f>
        <v>0.24623</v>
      </c>
      <c r="D72" s="19">
        <f>INDEX(위험률!$D:$D,B72+2)</f>
        <v>4.0473000000000002E-2</v>
      </c>
      <c r="E72" s="19">
        <f>INDEX(위험률!$C:$C,B72+2)</f>
        <v>6.0769999999999999E-3</v>
      </c>
      <c r="F72" s="19">
        <f t="shared" si="11"/>
        <v>0.28172016660499999</v>
      </c>
      <c r="G72" s="20">
        <f t="shared" si="18"/>
        <v>2808.6295553181512</v>
      </c>
      <c r="H72" s="20">
        <f t="shared" si="19"/>
        <v>2589.5831459584629</v>
      </c>
      <c r="I72" s="20">
        <f t="shared" si="12"/>
        <v>704.62492190348303</v>
      </c>
      <c r="J72" s="20">
        <f t="shared" si="13"/>
        <v>649.67087543763466</v>
      </c>
      <c r="K72" s="20">
        <f t="shared" si="14"/>
        <v>28.168353610962239</v>
      </c>
      <c r="L72" s="21">
        <f t="shared" si="15"/>
        <v>1</v>
      </c>
      <c r="M72" s="20">
        <f>SUM(I72:$I$77)</f>
        <v>1968.8666631714932</v>
      </c>
      <c r="N72" s="20">
        <f>SUM(J72:$J$77)</f>
        <v>1795.6616943737383</v>
      </c>
      <c r="O72" s="22">
        <f>IF(I72&lt;=0,0,(IF(A72&lt;$B$4,SUMPRODUCT(L72:$L$76,K72:$K$76),0)+베타후*(INDEX($M$16:$M$77,MAX(A72,$B$5)+1)-$M$77)-IF(A72&lt;=$B$5,$E$13*(N72-INDEX($N$16:$N$77,$B$5+1)),0))/I72)</f>
        <v>0.10976887630753981</v>
      </c>
      <c r="P72" s="6">
        <f t="shared" si="16"/>
        <v>10977</v>
      </c>
      <c r="Q72" s="7">
        <v>10977</v>
      </c>
      <c r="R72" s="6">
        <f t="shared" si="17"/>
        <v>0</v>
      </c>
    </row>
    <row r="73" spans="1:18" x14ac:dyDescent="0.45">
      <c r="A73">
        <v>57</v>
      </c>
      <c r="B73">
        <f t="shared" si="10"/>
        <v>97</v>
      </c>
      <c r="C73" s="19">
        <f>INDEX(위험률!$B:$B,B73+2)</f>
        <v>0.27052999999999999</v>
      </c>
      <c r="D73" s="19">
        <f>INDEX(위험률!$D:$D,B73+2)</f>
        <v>4.0474000000000003E-2</v>
      </c>
      <c r="E73" s="19">
        <f>INDEX(위험률!$C:$C,B73+2)</f>
        <v>6.3629999999999997E-3</v>
      </c>
      <c r="F73" s="19">
        <f t="shared" si="11"/>
        <v>0.30552928438999999</v>
      </c>
      <c r="G73" s="20">
        <f t="shared" si="18"/>
        <v>2017.3819690621947</v>
      </c>
      <c r="H73" s="20">
        <f t="shared" si="19"/>
        <v>1846.5251544546256</v>
      </c>
      <c r="I73" s="20">
        <f t="shared" si="12"/>
        <v>493.77353318126717</v>
      </c>
      <c r="J73" s="20">
        <f t="shared" si="13"/>
        <v>451.95469356107662</v>
      </c>
      <c r="K73" s="20">
        <f t="shared" si="14"/>
        <v>19.739766093945846</v>
      </c>
      <c r="L73" s="21">
        <f t="shared" si="15"/>
        <v>1</v>
      </c>
      <c r="M73" s="20">
        <f>SUM(I73:$I$77)</f>
        <v>1264.2417412680102</v>
      </c>
      <c r="N73" s="20">
        <f>SUM(J73:$J$77)</f>
        <v>1145.9908189361036</v>
      </c>
      <c r="O73" s="22">
        <f>IF(I73&lt;=0,0,(IF(A73&lt;$B$4,SUMPRODUCT(L73:$L$76,K73:$K$76),0)+베타후*(INDEX($M$16:$M$77,MAX(A73,$B$5)+1)-$M$77)-IF(A73&lt;=$B$5,$E$13*(N73-INDEX($N$16:$N$77,$B$5+1)),0))/I73)</f>
        <v>9.8168298026157938E-2</v>
      </c>
      <c r="P73" s="6">
        <f t="shared" si="16"/>
        <v>9817</v>
      </c>
      <c r="Q73" s="7">
        <v>9817</v>
      </c>
      <c r="R73" s="6">
        <f t="shared" si="17"/>
        <v>0</v>
      </c>
    </row>
    <row r="74" spans="1:18" x14ac:dyDescent="0.45">
      <c r="A74">
        <v>58</v>
      </c>
      <c r="B74">
        <f t="shared" si="10"/>
        <v>98</v>
      </c>
      <c r="C74" s="19">
        <f>INDEX(위험률!$B:$B,B74+2)</f>
        <v>0.29698999999999998</v>
      </c>
      <c r="D74" s="19">
        <f>INDEX(위험률!$D:$D,B74+2)</f>
        <v>4.0474000000000003E-2</v>
      </c>
      <c r="E74" s="19">
        <f>INDEX(위험률!$C:$C,B74+2)</f>
        <v>6.6379999999999998E-3</v>
      </c>
      <c r="F74" s="19">
        <f t="shared" si="11"/>
        <v>0.33145381336999996</v>
      </c>
      <c r="G74" s="20">
        <f t="shared" si="18"/>
        <v>1401.0126997133334</v>
      </c>
      <c r="H74" s="20">
        <f t="shared" si="19"/>
        <v>1272.4031047782132</v>
      </c>
      <c r="I74" s="20">
        <f t="shared" si="12"/>
        <v>334.54756969529046</v>
      </c>
      <c r="J74" s="20">
        <f t="shared" si="13"/>
        <v>303.83690773352242</v>
      </c>
      <c r="K74" s="20">
        <f t="shared" si="14"/>
        <v>13.374331205108868</v>
      </c>
      <c r="L74" s="21">
        <f t="shared" si="15"/>
        <v>1</v>
      </c>
      <c r="M74" s="20">
        <f>SUM(I74:$I$77)</f>
        <v>770.46820808674306</v>
      </c>
      <c r="N74" s="20">
        <f>SUM(J74:$J$77)</f>
        <v>694.03612537502693</v>
      </c>
      <c r="O74" s="22">
        <f>IF(I74&lt;=0,0,(IF(A74&lt;$B$4,SUMPRODUCT(L74:$L$76,K74:$K$76),0)+베타후*(INDEX($M$16:$M$77,MAX(A74,$B$5)+1)-$M$77)-IF(A74&lt;=$B$5,$E$13*(N74-INDEX($N$16:$N$77,$B$5+1)),0))/I74)</f>
        <v>8.4410619874958973E-2</v>
      </c>
      <c r="P74" s="6">
        <f t="shared" si="16"/>
        <v>8441</v>
      </c>
      <c r="Q74" s="7">
        <v>8441</v>
      </c>
      <c r="R74" s="6">
        <f t="shared" si="17"/>
        <v>0</v>
      </c>
    </row>
    <row r="75" spans="1:18" x14ac:dyDescent="0.45">
      <c r="A75">
        <v>59</v>
      </c>
      <c r="B75">
        <f t="shared" si="10"/>
        <v>99</v>
      </c>
      <c r="C75" s="19">
        <f>INDEX(위험률!$B:$B,B75+2)</f>
        <v>0.32546000000000003</v>
      </c>
      <c r="D75" s="19">
        <f>INDEX(위험률!$D:$D,B75+2)</f>
        <v>4.0474999999999997E-2</v>
      </c>
      <c r="E75" s="19">
        <f>INDEX(위험률!$C:$C,B75+2)</f>
        <v>6.914E-3</v>
      </c>
      <c r="F75" s="19">
        <f t="shared" si="11"/>
        <v>0.35934850325000001</v>
      </c>
      <c r="G75" s="20">
        <f t="shared" si="18"/>
        <v>936.64169781355031</v>
      </c>
      <c r="H75" s="20">
        <f t="shared" si="19"/>
        <v>843.61379630252668</v>
      </c>
      <c r="I75" s="20">
        <f t="shared" si="12"/>
        <v>218.205367771825</v>
      </c>
      <c r="J75" s="20">
        <f t="shared" si="13"/>
        <v>196.53305966335679</v>
      </c>
      <c r="K75" s="20">
        <f t="shared" si="14"/>
        <v>8.7234917482922327</v>
      </c>
      <c r="L75" s="21">
        <f t="shared" si="15"/>
        <v>1</v>
      </c>
      <c r="M75" s="20">
        <f>SUM(I75:$I$77)</f>
        <v>435.9206383914526</v>
      </c>
      <c r="N75" s="20">
        <f>SUM(J75:$J$77)</f>
        <v>390.19921764150456</v>
      </c>
      <c r="O75" s="22">
        <f>IF(I75&lt;=0,0,(IF(A75&lt;$B$4,SUMPRODUCT(L75:$L$76,K75:$K$76),0)+베타후*(INDEX($M$16:$M$77,MAX(A75,$B$5)+1)-$M$77)-IF(A75&lt;=$B$5,$E$13*(N75-INDEX($N$16:$N$77,$B$5+1)),0))/I75)</f>
        <v>6.6590886875114483E-2</v>
      </c>
      <c r="P75" s="6">
        <f t="shared" si="16"/>
        <v>6659</v>
      </c>
      <c r="Q75" s="7">
        <v>6659</v>
      </c>
      <c r="R75" s="6">
        <f t="shared" si="17"/>
        <v>0</v>
      </c>
    </row>
    <row r="76" spans="1:18" x14ac:dyDescent="0.45">
      <c r="A76">
        <v>60</v>
      </c>
      <c r="B76">
        <f t="shared" si="10"/>
        <v>100</v>
      </c>
      <c r="C76" s="19">
        <f>INDEX(위험률!$B:$B,B76+2)</f>
        <v>0.35547000000000001</v>
      </c>
      <c r="D76" s="19">
        <f>INDEX(위험률!$D:$D,B76+2)</f>
        <v>4.0474999999999997E-2</v>
      </c>
      <c r="E76" s="19">
        <f>INDEX(위험률!$C:$C,B76+2)</f>
        <v>7.2049999999999996E-3</v>
      </c>
      <c r="F76" s="19">
        <f t="shared" si="11"/>
        <v>0.38875117587499997</v>
      </c>
      <c r="G76" s="20">
        <f t="shared" si="18"/>
        <v>600.0609056227122</v>
      </c>
      <c r="H76" s="20">
        <f t="shared" si="19"/>
        <v>535.67768972683996</v>
      </c>
      <c r="I76" s="20">
        <f t="shared" si="12"/>
        <v>136.38399557258919</v>
      </c>
      <c r="J76" s="20">
        <f t="shared" si="13"/>
        <v>121.75074726493715</v>
      </c>
      <c r="K76" s="20">
        <f t="shared" si="14"/>
        <v>5.4524078491997008</v>
      </c>
      <c r="L76" s="21">
        <f t="shared" si="15"/>
        <v>1</v>
      </c>
      <c r="M76" s="20">
        <f>SUM(I76:$I$77)</f>
        <v>217.71527061962757</v>
      </c>
      <c r="N76" s="20">
        <f>SUM(J76:$J$77)</f>
        <v>193.66615797814777</v>
      </c>
      <c r="O76" s="22">
        <f>IF(I76&lt;=0,0,(IF(A76&lt;$B$4,SUMPRODUCT(L76:$L$76,K76:$K$76),0)+베타후*(INDEX($M$16:$M$77,MAX(A76,$B$5)+1)-$M$77)-IF(A76&lt;=$B$5,$E$13*(N76-INDEX($N$16:$N$77,$B$5+1)),0))/I76)</f>
        <v>4.0978355424392189E-2</v>
      </c>
      <c r="P76" s="6">
        <f t="shared" si="16"/>
        <v>4098</v>
      </c>
      <c r="Q76" s="7">
        <v>4098</v>
      </c>
      <c r="R76" s="6">
        <f t="shared" si="17"/>
        <v>0</v>
      </c>
    </row>
    <row r="77" spans="1:18" x14ac:dyDescent="0.45">
      <c r="A77">
        <v>61</v>
      </c>
      <c r="B77">
        <f t="shared" si="10"/>
        <v>101</v>
      </c>
      <c r="C77" s="19">
        <f>INDEX(위험률!$B:$B,B77+2)</f>
        <v>0.38674999999999998</v>
      </c>
      <c r="D77" s="19">
        <f>INDEX(위험률!$D:$D,B77+2)</f>
        <v>4.0474999999999997E-2</v>
      </c>
      <c r="E77" s="19">
        <f>INDEX(위험률!$C:$C,B77+2)</f>
        <v>7.5129999999999997E-3</v>
      </c>
      <c r="F77" s="19">
        <f t="shared" si="11"/>
        <v>0.41939814687499999</v>
      </c>
      <c r="G77" s="20">
        <f t="shared" si="18"/>
        <v>366.78652296526548</v>
      </c>
      <c r="H77" s="20">
        <f t="shared" si="19"/>
        <v>324.32300400875181</v>
      </c>
      <c r="I77" s="20">
        <f t="shared" si="12"/>
        <v>81.331275047038389</v>
      </c>
      <c r="J77" s="20">
        <f t="shared" si="13"/>
        <v>71.915410713210619</v>
      </c>
      <c r="K77" s="20">
        <f t="shared" si="14"/>
        <v>3.2514906209495007</v>
      </c>
      <c r="L77" s="21">
        <f t="shared" si="15"/>
        <v>1</v>
      </c>
      <c r="M77" s="20">
        <f>SUM(I77:$I$77)</f>
        <v>81.331275047038389</v>
      </c>
      <c r="N77" s="20">
        <f>SUM(J77:$J$77)</f>
        <v>71.915410713210619</v>
      </c>
      <c r="O77" s="22">
        <f>IF(I77&lt;=0,0,(IF(A77&lt;$B$4,SUMPRODUCT(L$76:$L77,K$76:$K77),0)+베타후*(INDEX($M$16:$M$77,MAX(A77,$B$5)+1)-$M$77)-IF(A77&lt;=$B$5,$E$13*(N77-INDEX($N$16:$N$77,$B$5+1)),0))/I77)</f>
        <v>0</v>
      </c>
      <c r="P77" s="6">
        <f t="shared" si="16"/>
        <v>0</v>
      </c>
      <c r="Q77" s="7">
        <v>0</v>
      </c>
      <c r="R77" s="6">
        <f t="shared" si="17"/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12</vt:i4>
      </vt:variant>
    </vt:vector>
  </HeadingPairs>
  <TitlesOfParts>
    <vt:vector size="18" baseType="lpstr">
      <vt:lpstr>설명</vt:lpstr>
      <vt:lpstr>보험료</vt:lpstr>
      <vt:lpstr>입력</vt:lpstr>
      <vt:lpstr>위험률</vt:lpstr>
      <vt:lpstr>기수_사망장해</vt:lpstr>
      <vt:lpstr>기수_암진단</vt:lpstr>
      <vt:lpstr>가입나이</vt:lpstr>
      <vt:lpstr>감마</vt:lpstr>
      <vt:lpstr>납입기간</vt:lpstr>
      <vt:lpstr>납입주기</vt:lpstr>
      <vt:lpstr>베타G</vt:lpstr>
      <vt:lpstr>베타S</vt:lpstr>
      <vt:lpstr>베타후</vt:lpstr>
      <vt:lpstr>보험기간</vt:lpstr>
      <vt:lpstr>알파P</vt:lpstr>
      <vt:lpstr>알파S</vt:lpstr>
      <vt:lpstr>이율</vt:lpstr>
      <vt:lpstr>현가율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tkleen</cp:lastModifiedBy>
  <dcterms:created xsi:type="dcterms:W3CDTF">2026-09-28T02:04:26Z</dcterms:created>
  <dcterms:modified xsi:type="dcterms:W3CDTF">2026-09-28T02:04:41Z</dcterms:modified>
</cp:coreProperties>
</file>