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00 App Project\Life_ins_Doc_Convert_Studio\samples\"/>
    </mc:Choice>
  </mc:AlternateContent>
  <xr:revisionPtr revIDLastSave="0" documentId="13_ncr:1_{7F9AD97B-69F2-4CB4-8C30-ED3211B09BE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설명" sheetId="1" r:id="rId1"/>
    <sheet name="보험료" sheetId="2" r:id="rId2"/>
    <sheet name="입력" sheetId="3" r:id="rId3"/>
    <sheet name="위험률" sheetId="4" r:id="rId4"/>
    <sheet name="기수_사망장해" sheetId="5" r:id="rId5"/>
    <sheet name="기수_암진단" sheetId="6" r:id="rId6"/>
  </sheets>
  <definedNames>
    <definedName name="가입나이">입력!$B$4</definedName>
    <definedName name="감마">입력!$B$13</definedName>
    <definedName name="납입기간">입력!$B$5</definedName>
    <definedName name="납입주기">입력!$B$6</definedName>
    <definedName name="베타G">입력!$B$11</definedName>
    <definedName name="베타S">입력!$B$10</definedName>
    <definedName name="베타후">입력!$B$12</definedName>
    <definedName name="보험기간">입력!$B$7</definedName>
    <definedName name="알파P">입력!$B$9</definedName>
    <definedName name="알파S">입력!$B$8</definedName>
    <definedName name="이율">입력!$B$2</definedName>
    <definedName name="현가율">입력!$B$3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6" i="6" l="1"/>
  <c r="B76" i="6"/>
  <c r="L75" i="6"/>
  <c r="B75" i="6"/>
  <c r="L74" i="6"/>
  <c r="B74" i="6"/>
  <c r="L73" i="6"/>
  <c r="B73" i="6"/>
  <c r="L72" i="6"/>
  <c r="B72" i="6"/>
  <c r="L71" i="6"/>
  <c r="B71" i="6"/>
  <c r="L70" i="6"/>
  <c r="B70" i="6"/>
  <c r="L69" i="6"/>
  <c r="B69" i="6"/>
  <c r="L68" i="6"/>
  <c r="B68" i="6"/>
  <c r="L67" i="6"/>
  <c r="B67" i="6"/>
  <c r="L66" i="6"/>
  <c r="B66" i="6"/>
  <c r="L65" i="6"/>
  <c r="B65" i="6"/>
  <c r="L64" i="6"/>
  <c r="B64" i="6"/>
  <c r="L63" i="6"/>
  <c r="B63" i="6"/>
  <c r="L62" i="6"/>
  <c r="B62" i="6"/>
  <c r="L61" i="6"/>
  <c r="B61" i="6"/>
  <c r="L60" i="6"/>
  <c r="B60" i="6"/>
  <c r="L59" i="6"/>
  <c r="B59" i="6"/>
  <c r="L58" i="6"/>
  <c r="B58" i="6"/>
  <c r="L57" i="6"/>
  <c r="B57" i="6"/>
  <c r="L56" i="6"/>
  <c r="B56" i="6"/>
  <c r="L55" i="6"/>
  <c r="B55" i="6"/>
  <c r="L54" i="6"/>
  <c r="B54" i="6"/>
  <c r="L53" i="6"/>
  <c r="B53" i="6"/>
  <c r="L52" i="6"/>
  <c r="B52" i="6"/>
  <c r="L51" i="6"/>
  <c r="B51" i="6"/>
  <c r="L50" i="6"/>
  <c r="B50" i="6"/>
  <c r="L49" i="6"/>
  <c r="B49" i="6"/>
  <c r="L48" i="6"/>
  <c r="B48" i="6"/>
  <c r="L47" i="6"/>
  <c r="B47" i="6"/>
  <c r="L46" i="6"/>
  <c r="B46" i="6"/>
  <c r="L45" i="6"/>
  <c r="B45" i="6"/>
  <c r="L44" i="6"/>
  <c r="B44" i="6"/>
  <c r="L43" i="6"/>
  <c r="B43" i="6"/>
  <c r="L42" i="6"/>
  <c r="B42" i="6"/>
  <c r="L41" i="6"/>
  <c r="B41" i="6"/>
  <c r="L40" i="6"/>
  <c r="B40" i="6"/>
  <c r="L39" i="6"/>
  <c r="B39" i="6"/>
  <c r="L38" i="6"/>
  <c r="B38" i="6"/>
  <c r="L37" i="6"/>
  <c r="B37" i="6"/>
  <c r="E37" i="6" s="1"/>
  <c r="L36" i="6"/>
  <c r="B36" i="6"/>
  <c r="L35" i="6"/>
  <c r="B35" i="6"/>
  <c r="L34" i="6"/>
  <c r="B34" i="6"/>
  <c r="L33" i="6"/>
  <c r="B33" i="6"/>
  <c r="L32" i="6"/>
  <c r="B32" i="6"/>
  <c r="L31" i="6"/>
  <c r="B31" i="6"/>
  <c r="L30" i="6"/>
  <c r="B30" i="6"/>
  <c r="L29" i="6"/>
  <c r="B29" i="6"/>
  <c r="L28" i="6"/>
  <c r="B28" i="6"/>
  <c r="L27" i="6"/>
  <c r="B27" i="6"/>
  <c r="L26" i="6"/>
  <c r="B26" i="6"/>
  <c r="L25" i="6"/>
  <c r="B25" i="6"/>
  <c r="L24" i="6"/>
  <c r="B24" i="6"/>
  <c r="L23" i="6"/>
  <c r="B23" i="6"/>
  <c r="L22" i="6"/>
  <c r="B22" i="6"/>
  <c r="L21" i="6"/>
  <c r="B21" i="6"/>
  <c r="L20" i="6"/>
  <c r="B20" i="6"/>
  <c r="L19" i="6"/>
  <c r="B19" i="6"/>
  <c r="L18" i="6"/>
  <c r="B18" i="6"/>
  <c r="L17" i="6"/>
  <c r="B17" i="6"/>
  <c r="B16" i="6"/>
  <c r="E8" i="6"/>
  <c r="B7" i="6"/>
  <c r="L16" i="6" s="1"/>
  <c r="L87" i="5"/>
  <c r="B87" i="5"/>
  <c r="L86" i="5"/>
  <c r="B86" i="5"/>
  <c r="L85" i="5"/>
  <c r="B85" i="5"/>
  <c r="L84" i="5"/>
  <c r="B84" i="5"/>
  <c r="L83" i="5"/>
  <c r="B83" i="5"/>
  <c r="L82" i="5"/>
  <c r="B82" i="5"/>
  <c r="L81" i="5"/>
  <c r="B81" i="5"/>
  <c r="L80" i="5"/>
  <c r="B80" i="5"/>
  <c r="L79" i="5"/>
  <c r="B79" i="5"/>
  <c r="L78" i="5"/>
  <c r="B78" i="5"/>
  <c r="L77" i="5"/>
  <c r="B77" i="5"/>
  <c r="L76" i="5"/>
  <c r="B76" i="5"/>
  <c r="L75" i="5"/>
  <c r="B75" i="5"/>
  <c r="L74" i="5"/>
  <c r="B74" i="5"/>
  <c r="L73" i="5"/>
  <c r="B73" i="5"/>
  <c r="L72" i="5"/>
  <c r="B72" i="5"/>
  <c r="L71" i="5"/>
  <c r="B71" i="5"/>
  <c r="L70" i="5"/>
  <c r="B70" i="5"/>
  <c r="L69" i="5"/>
  <c r="B69" i="5"/>
  <c r="L68" i="5"/>
  <c r="B68" i="5"/>
  <c r="L67" i="5"/>
  <c r="B67" i="5"/>
  <c r="L66" i="5"/>
  <c r="B66" i="5"/>
  <c r="L65" i="5"/>
  <c r="B65" i="5"/>
  <c r="L64" i="5"/>
  <c r="E64" i="5"/>
  <c r="B64" i="5"/>
  <c r="L63" i="5"/>
  <c r="B63" i="5"/>
  <c r="L62" i="5"/>
  <c r="B62" i="5"/>
  <c r="L61" i="5"/>
  <c r="B61" i="5"/>
  <c r="L60" i="5"/>
  <c r="B60" i="5"/>
  <c r="L59" i="5"/>
  <c r="B59" i="5"/>
  <c r="L58" i="5"/>
  <c r="B58" i="5"/>
  <c r="L57" i="5"/>
  <c r="B57" i="5"/>
  <c r="L56" i="5"/>
  <c r="B56" i="5"/>
  <c r="L55" i="5"/>
  <c r="B55" i="5"/>
  <c r="L54" i="5"/>
  <c r="B54" i="5"/>
  <c r="L53" i="5"/>
  <c r="B53" i="5"/>
  <c r="L52" i="5"/>
  <c r="B52" i="5"/>
  <c r="L51" i="5"/>
  <c r="B51" i="5"/>
  <c r="L50" i="5"/>
  <c r="B50" i="5"/>
  <c r="L49" i="5"/>
  <c r="B49" i="5"/>
  <c r="L48" i="5"/>
  <c r="B48" i="5"/>
  <c r="L47" i="5"/>
  <c r="B47" i="5"/>
  <c r="L46" i="5"/>
  <c r="B46" i="5"/>
  <c r="L45" i="5"/>
  <c r="B45" i="5"/>
  <c r="L44" i="5"/>
  <c r="B44" i="5"/>
  <c r="L43" i="5"/>
  <c r="B43" i="5"/>
  <c r="L42" i="5"/>
  <c r="B42" i="5"/>
  <c r="L41" i="5"/>
  <c r="B41" i="5"/>
  <c r="L40" i="5"/>
  <c r="B40" i="5"/>
  <c r="L39" i="5"/>
  <c r="B39" i="5"/>
  <c r="L38" i="5"/>
  <c r="B38" i="5"/>
  <c r="L37" i="5"/>
  <c r="B37" i="5"/>
  <c r="L36" i="5"/>
  <c r="B36" i="5"/>
  <c r="L35" i="5"/>
  <c r="B35" i="5"/>
  <c r="L34" i="5"/>
  <c r="B34" i="5"/>
  <c r="L33" i="5"/>
  <c r="B33" i="5"/>
  <c r="L32" i="5"/>
  <c r="B32" i="5"/>
  <c r="L31" i="5"/>
  <c r="B31" i="5"/>
  <c r="L30" i="5"/>
  <c r="B30" i="5"/>
  <c r="L29" i="5"/>
  <c r="B29" i="5"/>
  <c r="L28" i="5"/>
  <c r="B28" i="5"/>
  <c r="L27" i="5"/>
  <c r="B27" i="5"/>
  <c r="L26" i="5"/>
  <c r="B26" i="5"/>
  <c r="L25" i="5"/>
  <c r="B25" i="5"/>
  <c r="L24" i="5"/>
  <c r="B24" i="5"/>
  <c r="L23" i="5"/>
  <c r="B23" i="5"/>
  <c r="L22" i="5"/>
  <c r="B22" i="5"/>
  <c r="L21" i="5"/>
  <c r="B21" i="5"/>
  <c r="L20" i="5"/>
  <c r="B20" i="5"/>
  <c r="L19" i="5"/>
  <c r="B19" i="5"/>
  <c r="L18" i="5"/>
  <c r="B18" i="5"/>
  <c r="L17" i="5"/>
  <c r="B17" i="5"/>
  <c r="B16" i="5"/>
  <c r="E8" i="5"/>
  <c r="B7" i="5"/>
  <c r="L16" i="5" s="1"/>
  <c r="B7" i="3"/>
  <c r="D3" i="3"/>
  <c r="B3" i="3"/>
  <c r="J4" i="2"/>
  <c r="A3" i="2"/>
  <c r="A2" i="2"/>
  <c r="B4" i="5" l="1"/>
  <c r="B4" i="6"/>
  <c r="E76" i="6"/>
  <c r="D76" i="6"/>
  <c r="C76" i="6"/>
  <c r="F76" i="6" s="1"/>
  <c r="E75" i="6"/>
  <c r="D75" i="6"/>
  <c r="C75" i="6"/>
  <c r="F75" i="6" s="1"/>
  <c r="E74" i="6"/>
  <c r="D74" i="6"/>
  <c r="C74" i="6"/>
  <c r="F74" i="6" s="1"/>
  <c r="E73" i="6"/>
  <c r="D73" i="6"/>
  <c r="C73" i="6"/>
  <c r="F73" i="6" s="1"/>
  <c r="E72" i="6"/>
  <c r="D72" i="6"/>
  <c r="C72" i="6"/>
  <c r="F72" i="6" s="1"/>
  <c r="E71" i="6"/>
  <c r="D71" i="6"/>
  <c r="C71" i="6"/>
  <c r="F71" i="6" s="1"/>
  <c r="E70" i="6"/>
  <c r="D70" i="6"/>
  <c r="C70" i="6"/>
  <c r="F70" i="6" s="1"/>
  <c r="E69" i="6"/>
  <c r="D69" i="6"/>
  <c r="C69" i="6"/>
  <c r="F69" i="6" s="1"/>
  <c r="E68" i="6"/>
  <c r="D68" i="6"/>
  <c r="C68" i="6"/>
  <c r="F68" i="6" s="1"/>
  <c r="E67" i="6"/>
  <c r="D67" i="6"/>
  <c r="C67" i="6"/>
  <c r="F67" i="6" s="1"/>
  <c r="E66" i="6"/>
  <c r="D66" i="6"/>
  <c r="C66" i="6"/>
  <c r="F66" i="6" s="1"/>
  <c r="E65" i="6"/>
  <c r="D65" i="6"/>
  <c r="C65" i="6"/>
  <c r="F65" i="6" s="1"/>
  <c r="E64" i="6"/>
  <c r="D64" i="6"/>
  <c r="C64" i="6"/>
  <c r="F64" i="6" s="1"/>
  <c r="E63" i="6"/>
  <c r="D63" i="6"/>
  <c r="C63" i="6"/>
  <c r="F63" i="6" s="1"/>
  <c r="E62" i="6"/>
  <c r="D62" i="6"/>
  <c r="C62" i="6"/>
  <c r="F62" i="6" s="1"/>
  <c r="E61" i="6"/>
  <c r="D61" i="6"/>
  <c r="C61" i="6"/>
  <c r="F61" i="6" s="1"/>
  <c r="E60" i="6"/>
  <c r="D60" i="6"/>
  <c r="C60" i="6"/>
  <c r="F60" i="6" s="1"/>
  <c r="E59" i="6"/>
  <c r="C59" i="6"/>
  <c r="D59" i="6"/>
  <c r="C58" i="6"/>
  <c r="D58" i="6"/>
  <c r="E58" i="6"/>
  <c r="E57" i="6"/>
  <c r="C57" i="6"/>
  <c r="D57" i="6"/>
  <c r="C56" i="6"/>
  <c r="D56" i="6"/>
  <c r="E56" i="6"/>
  <c r="E55" i="6"/>
  <c r="D55" i="6"/>
  <c r="C55" i="6"/>
  <c r="F55" i="6" s="1"/>
  <c r="E54" i="6"/>
  <c r="D54" i="6"/>
  <c r="C54" i="6"/>
  <c r="F54" i="6" s="1"/>
  <c r="E53" i="6"/>
  <c r="C53" i="6"/>
  <c r="D53" i="6"/>
  <c r="C52" i="6"/>
  <c r="D52" i="6"/>
  <c r="E52" i="6"/>
  <c r="C51" i="6"/>
  <c r="D51" i="6"/>
  <c r="E51" i="6"/>
  <c r="D50" i="6"/>
  <c r="E50" i="6"/>
  <c r="C50" i="6"/>
  <c r="E49" i="6"/>
  <c r="D49" i="6"/>
  <c r="C49" i="6"/>
  <c r="F49" i="6" s="1"/>
  <c r="D48" i="6"/>
  <c r="E48" i="6"/>
  <c r="C48" i="6"/>
  <c r="F48" i="6" s="1"/>
  <c r="E47" i="6"/>
  <c r="D47" i="6"/>
  <c r="C47" i="6"/>
  <c r="F47" i="6" s="1"/>
  <c r="C46" i="6"/>
  <c r="E46" i="6"/>
  <c r="D46" i="6"/>
  <c r="D45" i="6"/>
  <c r="C45" i="6"/>
  <c r="F45" i="6" s="1"/>
  <c r="E45" i="6"/>
  <c r="C44" i="6"/>
  <c r="D44" i="6"/>
  <c r="E44" i="6"/>
  <c r="C43" i="6"/>
  <c r="D43" i="6"/>
  <c r="E43" i="6"/>
  <c r="E42" i="6"/>
  <c r="D42" i="6"/>
  <c r="C42" i="6"/>
  <c r="F42" i="6" s="1"/>
  <c r="E41" i="6"/>
  <c r="D41" i="6"/>
  <c r="C41" i="6"/>
  <c r="F41" i="6" s="1"/>
  <c r="C40" i="6"/>
  <c r="D40" i="6"/>
  <c r="E40" i="6"/>
  <c r="C39" i="6"/>
  <c r="D39" i="6"/>
  <c r="E39" i="6"/>
  <c r="D38" i="6"/>
  <c r="C38" i="6"/>
  <c r="F38" i="6" s="1"/>
  <c r="E38" i="6"/>
  <c r="C37" i="6"/>
  <c r="D37" i="6"/>
  <c r="C36" i="6"/>
  <c r="D36" i="6"/>
  <c r="E36" i="6"/>
  <c r="C35" i="6"/>
  <c r="D35" i="6"/>
  <c r="E35" i="6"/>
  <c r="D34" i="6"/>
  <c r="E34" i="6"/>
  <c r="C34" i="6"/>
  <c r="F34" i="6" s="1"/>
  <c r="E33" i="6"/>
  <c r="D33" i="6"/>
  <c r="C33" i="6"/>
  <c r="F33" i="6" s="1"/>
  <c r="E32" i="6"/>
  <c r="D32" i="6"/>
  <c r="C32" i="6"/>
  <c r="F32" i="6" s="1"/>
  <c r="E31" i="6"/>
  <c r="D31" i="6"/>
  <c r="C31" i="6"/>
  <c r="F31" i="6" s="1"/>
  <c r="E30" i="6"/>
  <c r="D30" i="6"/>
  <c r="C30" i="6"/>
  <c r="F30" i="6" s="1"/>
  <c r="C29" i="6"/>
  <c r="D29" i="6"/>
  <c r="E29" i="6"/>
  <c r="D28" i="6"/>
  <c r="E28" i="6"/>
  <c r="C28" i="6"/>
  <c r="F28" i="6" s="1"/>
  <c r="D27" i="6"/>
  <c r="C27" i="6"/>
  <c r="F27" i="6" s="1"/>
  <c r="E27" i="6"/>
  <c r="D26" i="6"/>
  <c r="E26" i="6"/>
  <c r="C26" i="6"/>
  <c r="F26" i="6" s="1"/>
  <c r="C25" i="6"/>
  <c r="E25" i="6"/>
  <c r="D25" i="6"/>
  <c r="E24" i="6"/>
  <c r="D24" i="6"/>
  <c r="C24" i="6"/>
  <c r="F24" i="6" s="1"/>
  <c r="D23" i="6"/>
  <c r="E23" i="6"/>
  <c r="C23" i="6"/>
  <c r="F23" i="6" s="1"/>
  <c r="D22" i="6"/>
  <c r="C22" i="6"/>
  <c r="F22" i="6" s="1"/>
  <c r="E22" i="6"/>
  <c r="C21" i="6"/>
  <c r="D21" i="6"/>
  <c r="E21" i="6"/>
  <c r="C20" i="6"/>
  <c r="D20" i="6"/>
  <c r="E20" i="6"/>
  <c r="C19" i="6"/>
  <c r="D19" i="6"/>
  <c r="E19" i="6"/>
  <c r="D18" i="6"/>
  <c r="E18" i="6"/>
  <c r="C18" i="6"/>
  <c r="F18" i="6" s="1"/>
  <c r="E17" i="6"/>
  <c r="D17" i="6"/>
  <c r="C17" i="6"/>
  <c r="F17" i="6" s="1"/>
  <c r="D16" i="6"/>
  <c r="K16" i="6" s="1"/>
  <c r="C16" i="6"/>
  <c r="E16" i="6"/>
  <c r="B3" i="2"/>
  <c r="E6" i="6"/>
  <c r="B5" i="6"/>
  <c r="D87" i="5"/>
  <c r="C87" i="5"/>
  <c r="E87" i="5"/>
  <c r="C86" i="5"/>
  <c r="E86" i="5"/>
  <c r="D86" i="5"/>
  <c r="E85" i="5"/>
  <c r="C85" i="5"/>
  <c r="D85" i="5"/>
  <c r="E84" i="5"/>
  <c r="D84" i="5"/>
  <c r="C84" i="5"/>
  <c r="F84" i="5" s="1"/>
  <c r="C83" i="5"/>
  <c r="D83" i="5"/>
  <c r="E83" i="5"/>
  <c r="C82" i="5"/>
  <c r="F82" i="5" s="1"/>
  <c r="D82" i="5"/>
  <c r="E82" i="5"/>
  <c r="E81" i="5"/>
  <c r="D81" i="5"/>
  <c r="C81" i="5"/>
  <c r="F81" i="5" s="1"/>
  <c r="E80" i="5"/>
  <c r="D80" i="5"/>
  <c r="C80" i="5"/>
  <c r="F80" i="5" s="1"/>
  <c r="C79" i="5"/>
  <c r="E79" i="5"/>
  <c r="D79" i="5"/>
  <c r="D78" i="5"/>
  <c r="E78" i="5"/>
  <c r="C78" i="5"/>
  <c r="F78" i="5" s="1"/>
  <c r="E77" i="5"/>
  <c r="D77" i="5"/>
  <c r="C77" i="5"/>
  <c r="F77" i="5" s="1"/>
  <c r="D76" i="5"/>
  <c r="C76" i="5"/>
  <c r="F76" i="5" s="1"/>
  <c r="E76" i="5"/>
  <c r="D75" i="5"/>
  <c r="C75" i="5"/>
  <c r="F75" i="5" s="1"/>
  <c r="E75" i="5"/>
  <c r="C74" i="5"/>
  <c r="E74" i="5"/>
  <c r="D74" i="5"/>
  <c r="E73" i="5"/>
  <c r="D73" i="5"/>
  <c r="C73" i="5"/>
  <c r="F73" i="5" s="1"/>
  <c r="E72" i="5"/>
  <c r="D72" i="5"/>
  <c r="C72" i="5"/>
  <c r="F72" i="5" s="1"/>
  <c r="E71" i="5"/>
  <c r="D71" i="5"/>
  <c r="C71" i="5"/>
  <c r="F71" i="5" s="1"/>
  <c r="E70" i="5"/>
  <c r="D70" i="5"/>
  <c r="C70" i="5"/>
  <c r="F70" i="5" s="1"/>
  <c r="E69" i="5"/>
  <c r="D69" i="5"/>
  <c r="C69" i="5"/>
  <c r="F69" i="5" s="1"/>
  <c r="E68" i="5"/>
  <c r="D68" i="5"/>
  <c r="C68" i="5"/>
  <c r="F68" i="5" s="1"/>
  <c r="D67" i="5"/>
  <c r="C67" i="5"/>
  <c r="F67" i="5" s="1"/>
  <c r="E67" i="5"/>
  <c r="D66" i="5"/>
  <c r="C66" i="5"/>
  <c r="F66" i="5" s="1"/>
  <c r="E66" i="5"/>
  <c r="E65" i="5"/>
  <c r="D65" i="5"/>
  <c r="C65" i="5"/>
  <c r="F65" i="5" s="1"/>
  <c r="C64" i="5"/>
  <c r="F64" i="5" s="1"/>
  <c r="D64" i="5"/>
  <c r="E63" i="5"/>
  <c r="D63" i="5"/>
  <c r="C63" i="5"/>
  <c r="F63" i="5" s="1"/>
  <c r="C62" i="5"/>
  <c r="E62" i="5"/>
  <c r="D62" i="5"/>
  <c r="E61" i="5"/>
  <c r="D61" i="5"/>
  <c r="C61" i="5"/>
  <c r="F61" i="5" s="1"/>
  <c r="E60" i="5"/>
  <c r="D60" i="5"/>
  <c r="C60" i="5"/>
  <c r="F60" i="5" s="1"/>
  <c r="E59" i="5"/>
  <c r="D59" i="5"/>
  <c r="C59" i="5"/>
  <c r="F59" i="5" s="1"/>
  <c r="D58" i="5"/>
  <c r="C58" i="5"/>
  <c r="F58" i="5" s="1"/>
  <c r="E58" i="5"/>
  <c r="D57" i="5"/>
  <c r="C57" i="5"/>
  <c r="F57" i="5" s="1"/>
  <c r="E57" i="5"/>
  <c r="E56" i="5"/>
  <c r="D56" i="5"/>
  <c r="C56" i="5"/>
  <c r="F56" i="5" s="1"/>
  <c r="E55" i="5"/>
  <c r="D55" i="5"/>
  <c r="C55" i="5"/>
  <c r="F55" i="5" s="1"/>
  <c r="E54" i="5"/>
  <c r="D54" i="5"/>
  <c r="C54" i="5"/>
  <c r="F54" i="5" s="1"/>
  <c r="E53" i="5"/>
  <c r="D53" i="5"/>
  <c r="C53" i="5"/>
  <c r="F53" i="5" s="1"/>
  <c r="E52" i="5"/>
  <c r="D52" i="5"/>
  <c r="C52" i="5"/>
  <c r="F52" i="5" s="1"/>
  <c r="E51" i="5"/>
  <c r="D51" i="5"/>
  <c r="C51" i="5"/>
  <c r="F51" i="5" s="1"/>
  <c r="E50" i="5"/>
  <c r="D50" i="5"/>
  <c r="C50" i="5"/>
  <c r="F50" i="5" s="1"/>
  <c r="C49" i="5"/>
  <c r="D49" i="5"/>
  <c r="E49" i="5"/>
  <c r="D48" i="5"/>
  <c r="C48" i="5"/>
  <c r="F48" i="5" s="1"/>
  <c r="E48" i="5"/>
  <c r="E47" i="5"/>
  <c r="D47" i="5"/>
  <c r="C47" i="5"/>
  <c r="E46" i="5"/>
  <c r="D46" i="5"/>
  <c r="C46" i="5"/>
  <c r="F46" i="5" s="1"/>
  <c r="E45" i="5"/>
  <c r="D45" i="5"/>
  <c r="C45" i="5"/>
  <c r="F45" i="5" s="1"/>
  <c r="E44" i="5"/>
  <c r="D44" i="5"/>
  <c r="C44" i="5"/>
  <c r="F44" i="5" s="1"/>
  <c r="E43" i="5"/>
  <c r="D43" i="5"/>
  <c r="C43" i="5"/>
  <c r="F43" i="5" s="1"/>
  <c r="E42" i="5"/>
  <c r="D42" i="5"/>
  <c r="C42" i="5"/>
  <c r="F42" i="5" s="1"/>
  <c r="E41" i="5"/>
  <c r="D41" i="5"/>
  <c r="C41" i="5"/>
  <c r="F41" i="5" s="1"/>
  <c r="C40" i="5"/>
  <c r="D40" i="5"/>
  <c r="E40" i="5"/>
  <c r="E39" i="5"/>
  <c r="D39" i="5"/>
  <c r="C39" i="5"/>
  <c r="F39" i="5" s="1"/>
  <c r="E38" i="5"/>
  <c r="D38" i="5"/>
  <c r="C38" i="5"/>
  <c r="F38" i="5" s="1"/>
  <c r="E37" i="5"/>
  <c r="D37" i="5"/>
  <c r="C37" i="5"/>
  <c r="F37" i="5" s="1"/>
  <c r="E36" i="5"/>
  <c r="D36" i="5"/>
  <c r="C36" i="5"/>
  <c r="F36" i="5" s="1"/>
  <c r="E35" i="5"/>
  <c r="D35" i="5"/>
  <c r="C35" i="5"/>
  <c r="F35" i="5" s="1"/>
  <c r="E34" i="5"/>
  <c r="D34" i="5"/>
  <c r="C34" i="5"/>
  <c r="F34" i="5" s="1"/>
  <c r="E33" i="5"/>
  <c r="D33" i="5"/>
  <c r="C33" i="5"/>
  <c r="F33" i="5" s="1"/>
  <c r="C32" i="5"/>
  <c r="E32" i="5"/>
  <c r="D32" i="5"/>
  <c r="E31" i="5"/>
  <c r="D31" i="5"/>
  <c r="C31" i="5"/>
  <c r="E30" i="5"/>
  <c r="D30" i="5"/>
  <c r="C30" i="5"/>
  <c r="D29" i="5"/>
  <c r="E29" i="5"/>
  <c r="C29" i="5"/>
  <c r="F29" i="5" s="1"/>
  <c r="E28" i="5"/>
  <c r="D28" i="5"/>
  <c r="C28" i="5"/>
  <c r="F28" i="5" s="1"/>
  <c r="D27" i="5"/>
  <c r="C27" i="5"/>
  <c r="F27" i="5" s="1"/>
  <c r="E27" i="5"/>
  <c r="E26" i="5"/>
  <c r="D26" i="5"/>
  <c r="C26" i="5"/>
  <c r="F26" i="5" s="1"/>
  <c r="C25" i="5"/>
  <c r="E25" i="5"/>
  <c r="D25" i="5"/>
  <c r="C24" i="5"/>
  <c r="D24" i="5"/>
  <c r="E24" i="5"/>
  <c r="C23" i="5"/>
  <c r="D23" i="5"/>
  <c r="E23" i="5"/>
  <c r="E22" i="5"/>
  <c r="D22" i="5"/>
  <c r="C22" i="5"/>
  <c r="F22" i="5" s="1"/>
  <c r="E21" i="5"/>
  <c r="D21" i="5"/>
  <c r="C21" i="5"/>
  <c r="F21" i="5" s="1"/>
  <c r="E20" i="5"/>
  <c r="D20" i="5"/>
  <c r="C20" i="5"/>
  <c r="F20" i="5" s="1"/>
  <c r="E19" i="5"/>
  <c r="D19" i="5"/>
  <c r="C19" i="5"/>
  <c r="F19" i="5" s="1"/>
  <c r="E18" i="5"/>
  <c r="D18" i="5"/>
  <c r="C18" i="5"/>
  <c r="F18" i="5" s="1"/>
  <c r="E17" i="5"/>
  <c r="D17" i="5"/>
  <c r="C17" i="5"/>
  <c r="F17" i="5" s="1"/>
  <c r="C16" i="5"/>
  <c r="D16" i="5"/>
  <c r="E16" i="5"/>
  <c r="B2" i="2"/>
  <c r="B5" i="5"/>
  <c r="E6" i="5"/>
  <c r="J16" i="5"/>
  <c r="I16" i="6"/>
  <c r="I16" i="5"/>
  <c r="J16" i="6"/>
  <c r="F25" i="6" l="1"/>
  <c r="F50" i="6"/>
  <c r="F85" i="5"/>
  <c r="F31" i="5"/>
  <c r="F16" i="6"/>
  <c r="G17" i="6" s="1"/>
  <c r="H17" i="6"/>
  <c r="C3" i="2"/>
  <c r="F16" i="5"/>
  <c r="H17" i="5"/>
  <c r="C2" i="2"/>
  <c r="F59" i="6"/>
  <c r="F58" i="6"/>
  <c r="F57" i="6"/>
  <c r="F56" i="6"/>
  <c r="F53" i="6"/>
  <c r="F52" i="6"/>
  <c r="F51" i="6"/>
  <c r="F46" i="6"/>
  <c r="F44" i="6"/>
  <c r="F43" i="6"/>
  <c r="F62" i="5"/>
  <c r="F40" i="6"/>
  <c r="F39" i="6"/>
  <c r="F37" i="6"/>
  <c r="F36" i="6"/>
  <c r="F35" i="6"/>
  <c r="F29" i="6"/>
  <c r="F86" i="5"/>
  <c r="F21" i="6"/>
  <c r="F20" i="6"/>
  <c r="F19" i="6"/>
  <c r="F79" i="5"/>
  <c r="F74" i="5"/>
  <c r="F47" i="5"/>
  <c r="F40" i="5"/>
  <c r="F32" i="5"/>
  <c r="F83" i="5"/>
  <c r="F49" i="5"/>
  <c r="F30" i="5"/>
  <c r="F25" i="5"/>
  <c r="F24" i="5"/>
  <c r="F23" i="5"/>
  <c r="F87" i="5"/>
  <c r="I17" i="6" l="1"/>
  <c r="K17" i="6"/>
  <c r="G18" i="6"/>
  <c r="J17" i="6"/>
  <c r="H18" i="6"/>
  <c r="K16" i="5"/>
  <c r="G17" i="5"/>
  <c r="J17" i="5"/>
  <c r="H18" i="5"/>
  <c r="I18" i="6" l="1"/>
  <c r="K18" i="6"/>
  <c r="G19" i="6"/>
  <c r="J18" i="6"/>
  <c r="H19" i="6"/>
  <c r="I17" i="5"/>
  <c r="K17" i="5"/>
  <c r="G18" i="5"/>
  <c r="J18" i="5"/>
  <c r="H19" i="5"/>
  <c r="I19" i="6" l="1"/>
  <c r="K19" i="6"/>
  <c r="G20" i="6"/>
  <c r="J19" i="6"/>
  <c r="H20" i="6"/>
  <c r="I18" i="5"/>
  <c r="K18" i="5"/>
  <c r="G19" i="5"/>
  <c r="J19" i="5"/>
  <c r="H20" i="5"/>
  <c r="I20" i="6" l="1"/>
  <c r="K20" i="6"/>
  <c r="G21" i="6"/>
  <c r="J20" i="6"/>
  <c r="H21" i="6"/>
  <c r="I19" i="5"/>
  <c r="K19" i="5"/>
  <c r="G20" i="5"/>
  <c r="J20" i="5"/>
  <c r="H21" i="5"/>
  <c r="I21" i="6" l="1"/>
  <c r="K21" i="6"/>
  <c r="G22" i="6"/>
  <c r="J21" i="6"/>
  <c r="H22" i="6"/>
  <c r="I20" i="5"/>
  <c r="K20" i="5"/>
  <c r="G21" i="5"/>
  <c r="J21" i="5"/>
  <c r="H22" i="5"/>
  <c r="I22" i="6" l="1"/>
  <c r="K22" i="6"/>
  <c r="G23" i="6"/>
  <c r="J22" i="6"/>
  <c r="H23" i="6"/>
  <c r="I21" i="5"/>
  <c r="K21" i="5"/>
  <c r="G22" i="5"/>
  <c r="J22" i="5"/>
  <c r="H23" i="5"/>
  <c r="I23" i="6" l="1"/>
  <c r="K23" i="6"/>
  <c r="G24" i="6"/>
  <c r="J23" i="6"/>
  <c r="H24" i="6"/>
  <c r="I22" i="5"/>
  <c r="K22" i="5"/>
  <c r="G23" i="5"/>
  <c r="J23" i="5"/>
  <c r="H24" i="5"/>
  <c r="I24" i="6" l="1"/>
  <c r="K24" i="6"/>
  <c r="G25" i="6"/>
  <c r="J24" i="6"/>
  <c r="H25" i="6"/>
  <c r="I23" i="5"/>
  <c r="K23" i="5"/>
  <c r="G24" i="5"/>
  <c r="J24" i="5"/>
  <c r="H25" i="5"/>
  <c r="I25" i="6" l="1"/>
  <c r="K25" i="6"/>
  <c r="G26" i="6"/>
  <c r="H26" i="6"/>
  <c r="J25" i="6"/>
  <c r="I24" i="5"/>
  <c r="K24" i="5"/>
  <c r="G25" i="5"/>
  <c r="J25" i="5"/>
  <c r="H26" i="5"/>
  <c r="I26" i="6" l="1"/>
  <c r="K26" i="6"/>
  <c r="G27" i="6"/>
  <c r="H27" i="6"/>
  <c r="J26" i="6"/>
  <c r="I25" i="5"/>
  <c r="K25" i="5"/>
  <c r="G26" i="5"/>
  <c r="J26" i="5"/>
  <c r="H27" i="5"/>
  <c r="I27" i="6" l="1"/>
  <c r="K27" i="6"/>
  <c r="G28" i="6"/>
  <c r="J27" i="6"/>
  <c r="H28" i="6"/>
  <c r="I26" i="5"/>
  <c r="K26" i="5"/>
  <c r="G27" i="5"/>
  <c r="J27" i="5"/>
  <c r="H28" i="5"/>
  <c r="I28" i="6" l="1"/>
  <c r="K28" i="6"/>
  <c r="G29" i="6"/>
  <c r="H29" i="6"/>
  <c r="J28" i="6"/>
  <c r="I27" i="5"/>
  <c r="K27" i="5"/>
  <c r="G28" i="5"/>
  <c r="J28" i="5"/>
  <c r="H29" i="5"/>
  <c r="I29" i="6" l="1"/>
  <c r="K29" i="6"/>
  <c r="G30" i="6"/>
  <c r="J29" i="6"/>
  <c r="H30" i="6"/>
  <c r="I28" i="5"/>
  <c r="K28" i="5"/>
  <c r="G29" i="5"/>
  <c r="J29" i="5"/>
  <c r="H30" i="5"/>
  <c r="I30" i="6" l="1"/>
  <c r="G31" i="6"/>
  <c r="K30" i="6"/>
  <c r="J30" i="6"/>
  <c r="H31" i="6"/>
  <c r="I29" i="5"/>
  <c r="K29" i="5"/>
  <c r="G30" i="5"/>
  <c r="J30" i="5"/>
  <c r="H31" i="5"/>
  <c r="I31" i="6" l="1"/>
  <c r="K31" i="6"/>
  <c r="G32" i="6"/>
  <c r="J31" i="6"/>
  <c r="H32" i="6"/>
  <c r="I30" i="5"/>
  <c r="K30" i="5"/>
  <c r="G31" i="5"/>
  <c r="J31" i="5"/>
  <c r="H32" i="5"/>
  <c r="I32" i="6" l="1"/>
  <c r="K32" i="6"/>
  <c r="G33" i="6"/>
  <c r="J32" i="6"/>
  <c r="H33" i="6"/>
  <c r="I31" i="5"/>
  <c r="K31" i="5"/>
  <c r="G32" i="5"/>
  <c r="J32" i="5"/>
  <c r="H33" i="5"/>
  <c r="I33" i="6" l="1"/>
  <c r="K33" i="6"/>
  <c r="G34" i="6"/>
  <c r="J33" i="6"/>
  <c r="H34" i="6"/>
  <c r="I32" i="5"/>
  <c r="K32" i="5"/>
  <c r="G33" i="5"/>
  <c r="J33" i="5"/>
  <c r="H34" i="5"/>
  <c r="I34" i="6" l="1"/>
  <c r="K34" i="6"/>
  <c r="G35" i="6"/>
  <c r="J34" i="6"/>
  <c r="H35" i="6"/>
  <c r="I33" i="5"/>
  <c r="K33" i="5"/>
  <c r="G34" i="5"/>
  <c r="J34" i="5"/>
  <c r="H35" i="5"/>
  <c r="I35" i="6" l="1"/>
  <c r="K35" i="6"/>
  <c r="G36" i="6"/>
  <c r="J35" i="6"/>
  <c r="H36" i="6"/>
  <c r="I34" i="5"/>
  <c r="K34" i="5"/>
  <c r="G35" i="5"/>
  <c r="J35" i="5"/>
  <c r="H36" i="5"/>
  <c r="I36" i="6" l="1"/>
  <c r="K36" i="6"/>
  <c r="G37" i="6"/>
  <c r="J36" i="6"/>
  <c r="H37" i="6"/>
  <c r="I35" i="5"/>
  <c r="K35" i="5"/>
  <c r="G36" i="5"/>
  <c r="J36" i="5"/>
  <c r="H37" i="5"/>
  <c r="K37" i="6" l="1"/>
  <c r="I37" i="6"/>
  <c r="G38" i="6"/>
  <c r="H38" i="6"/>
  <c r="J37" i="6"/>
  <c r="I36" i="5"/>
  <c r="K36" i="5"/>
  <c r="G37" i="5"/>
  <c r="J37" i="5"/>
  <c r="H38" i="5"/>
  <c r="I38" i="6" l="1"/>
  <c r="K38" i="6"/>
  <c r="G39" i="6"/>
  <c r="J38" i="6"/>
  <c r="H39" i="6"/>
  <c r="I37" i="5"/>
  <c r="K37" i="5"/>
  <c r="G38" i="5"/>
  <c r="J38" i="5"/>
  <c r="H39" i="5"/>
  <c r="I39" i="6" l="1"/>
  <c r="K39" i="6"/>
  <c r="G40" i="6"/>
  <c r="J39" i="6"/>
  <c r="H40" i="6"/>
  <c r="I38" i="5"/>
  <c r="K38" i="5"/>
  <c r="G39" i="5"/>
  <c r="J39" i="5"/>
  <c r="H40" i="5"/>
  <c r="I40" i="6" l="1"/>
  <c r="K40" i="6"/>
  <c r="G41" i="6"/>
  <c r="J40" i="6"/>
  <c r="H41" i="6"/>
  <c r="I39" i="5"/>
  <c r="K39" i="5"/>
  <c r="G40" i="5"/>
  <c r="J40" i="5"/>
  <c r="H41" i="5"/>
  <c r="I41" i="6" l="1"/>
  <c r="K41" i="6"/>
  <c r="G42" i="6"/>
  <c r="J41" i="6"/>
  <c r="H42" i="6"/>
  <c r="I40" i="5"/>
  <c r="K40" i="5"/>
  <c r="G41" i="5"/>
  <c r="J41" i="5"/>
  <c r="H42" i="5"/>
  <c r="I42" i="6" l="1"/>
  <c r="K42" i="6"/>
  <c r="G43" i="6"/>
  <c r="J42" i="6"/>
  <c r="H43" i="6"/>
  <c r="I41" i="5"/>
  <c r="K41" i="5"/>
  <c r="G42" i="5"/>
  <c r="J42" i="5"/>
  <c r="H43" i="5"/>
  <c r="I43" i="6" l="1"/>
  <c r="K43" i="6"/>
  <c r="G44" i="6"/>
  <c r="J43" i="6"/>
  <c r="H44" i="6"/>
  <c r="I42" i="5"/>
  <c r="K42" i="5"/>
  <c r="G43" i="5"/>
  <c r="J43" i="5"/>
  <c r="H44" i="5"/>
  <c r="I44" i="6" l="1"/>
  <c r="K44" i="6"/>
  <c r="G45" i="6"/>
  <c r="J44" i="6"/>
  <c r="H45" i="6"/>
  <c r="I43" i="5"/>
  <c r="K43" i="5"/>
  <c r="G44" i="5"/>
  <c r="J44" i="5"/>
  <c r="H45" i="5"/>
  <c r="I45" i="6" l="1"/>
  <c r="K45" i="6"/>
  <c r="G46" i="6"/>
  <c r="J45" i="6"/>
  <c r="H46" i="6"/>
  <c r="I44" i="5"/>
  <c r="K44" i="5"/>
  <c r="G45" i="5"/>
  <c r="J45" i="5"/>
  <c r="H46" i="5"/>
  <c r="I46" i="6" l="1"/>
  <c r="K46" i="6"/>
  <c r="G47" i="6"/>
  <c r="J46" i="6"/>
  <c r="H47" i="6"/>
  <c r="I45" i="5"/>
  <c r="K45" i="5"/>
  <c r="G46" i="5"/>
  <c r="J46" i="5"/>
  <c r="H47" i="5"/>
  <c r="I47" i="6" l="1"/>
  <c r="K47" i="6"/>
  <c r="G48" i="6"/>
  <c r="J47" i="6"/>
  <c r="H48" i="6"/>
  <c r="I46" i="5"/>
  <c r="K46" i="5"/>
  <c r="G47" i="5"/>
  <c r="J47" i="5"/>
  <c r="H48" i="5"/>
  <c r="I48" i="6" l="1"/>
  <c r="K48" i="6"/>
  <c r="G49" i="6"/>
  <c r="J48" i="6"/>
  <c r="H49" i="6"/>
  <c r="I47" i="5"/>
  <c r="K47" i="5"/>
  <c r="G48" i="5"/>
  <c r="J48" i="5"/>
  <c r="H49" i="5"/>
  <c r="I49" i="6" l="1"/>
  <c r="K49" i="6"/>
  <c r="G50" i="6"/>
  <c r="J49" i="6"/>
  <c r="H50" i="6"/>
  <c r="I48" i="5"/>
  <c r="K48" i="5"/>
  <c r="G49" i="5"/>
  <c r="J49" i="5"/>
  <c r="H50" i="5"/>
  <c r="I50" i="6" l="1"/>
  <c r="K50" i="6"/>
  <c r="G51" i="6"/>
  <c r="J50" i="6"/>
  <c r="H51" i="6"/>
  <c r="I49" i="5"/>
  <c r="K49" i="5"/>
  <c r="G50" i="5"/>
  <c r="J50" i="5"/>
  <c r="H51" i="5"/>
  <c r="I51" i="6" l="1"/>
  <c r="K51" i="6"/>
  <c r="G52" i="6"/>
  <c r="J51" i="6"/>
  <c r="H52" i="6"/>
  <c r="I50" i="5"/>
  <c r="K50" i="5"/>
  <c r="G51" i="5"/>
  <c r="J51" i="5"/>
  <c r="H52" i="5"/>
  <c r="I52" i="6" l="1"/>
  <c r="K52" i="6"/>
  <c r="G53" i="6"/>
  <c r="J52" i="6"/>
  <c r="H53" i="6"/>
  <c r="I51" i="5"/>
  <c r="K51" i="5"/>
  <c r="G52" i="5"/>
  <c r="J52" i="5"/>
  <c r="H53" i="5"/>
  <c r="I53" i="6" l="1"/>
  <c r="K53" i="6"/>
  <c r="G54" i="6"/>
  <c r="J53" i="6"/>
  <c r="H54" i="6"/>
  <c r="I52" i="5"/>
  <c r="K52" i="5"/>
  <c r="G53" i="5"/>
  <c r="J53" i="5"/>
  <c r="H54" i="5"/>
  <c r="I54" i="6" l="1"/>
  <c r="K54" i="6"/>
  <c r="G55" i="6"/>
  <c r="J54" i="6"/>
  <c r="H55" i="6"/>
  <c r="I53" i="5"/>
  <c r="K53" i="5"/>
  <c r="G54" i="5"/>
  <c r="J54" i="5"/>
  <c r="H55" i="5"/>
  <c r="I55" i="6" l="1"/>
  <c r="K55" i="6"/>
  <c r="G56" i="6"/>
  <c r="J55" i="6"/>
  <c r="H56" i="6"/>
  <c r="I54" i="5"/>
  <c r="K54" i="5"/>
  <c r="G55" i="5"/>
  <c r="J55" i="5"/>
  <c r="H56" i="5"/>
  <c r="I56" i="6" l="1"/>
  <c r="K56" i="6"/>
  <c r="G57" i="6"/>
  <c r="J56" i="6"/>
  <c r="H57" i="6"/>
  <c r="I55" i="5"/>
  <c r="K55" i="5"/>
  <c r="G56" i="5"/>
  <c r="J56" i="5"/>
  <c r="H57" i="5"/>
  <c r="I57" i="6" l="1"/>
  <c r="K57" i="6"/>
  <c r="G58" i="6"/>
  <c r="J57" i="6"/>
  <c r="H58" i="6"/>
  <c r="I56" i="5"/>
  <c r="K56" i="5"/>
  <c r="G57" i="5"/>
  <c r="J57" i="5"/>
  <c r="H58" i="5"/>
  <c r="I58" i="6" l="1"/>
  <c r="K58" i="6"/>
  <c r="G59" i="6"/>
  <c r="J58" i="6"/>
  <c r="H59" i="6"/>
  <c r="I57" i="5"/>
  <c r="K57" i="5"/>
  <c r="G58" i="5"/>
  <c r="J58" i="5"/>
  <c r="H59" i="5"/>
  <c r="I59" i="6" l="1"/>
  <c r="K59" i="6"/>
  <c r="G60" i="6"/>
  <c r="J59" i="6"/>
  <c r="H60" i="6"/>
  <c r="I58" i="5"/>
  <c r="K58" i="5"/>
  <c r="G59" i="5"/>
  <c r="J59" i="5"/>
  <c r="H60" i="5"/>
  <c r="I60" i="6" l="1"/>
  <c r="K60" i="6"/>
  <c r="G61" i="6"/>
  <c r="J60" i="6"/>
  <c r="H61" i="6"/>
  <c r="I59" i="5"/>
  <c r="K59" i="5"/>
  <c r="G60" i="5"/>
  <c r="J60" i="5"/>
  <c r="H61" i="5"/>
  <c r="I61" i="6" l="1"/>
  <c r="K61" i="6"/>
  <c r="G62" i="6"/>
  <c r="J61" i="6"/>
  <c r="H62" i="6"/>
  <c r="I60" i="5"/>
  <c r="K60" i="5"/>
  <c r="G61" i="5"/>
  <c r="J61" i="5"/>
  <c r="H62" i="5"/>
  <c r="I62" i="6" l="1"/>
  <c r="K62" i="6"/>
  <c r="G63" i="6"/>
  <c r="J62" i="6"/>
  <c r="H63" i="6"/>
  <c r="I61" i="5"/>
  <c r="K61" i="5"/>
  <c r="G62" i="5"/>
  <c r="J62" i="5"/>
  <c r="H63" i="5"/>
  <c r="I63" i="6" l="1"/>
  <c r="K63" i="6"/>
  <c r="G64" i="6"/>
  <c r="J63" i="6"/>
  <c r="H64" i="6"/>
  <c r="I62" i="5"/>
  <c r="K62" i="5"/>
  <c r="G63" i="5"/>
  <c r="J63" i="5"/>
  <c r="H64" i="5"/>
  <c r="I64" i="6" l="1"/>
  <c r="K64" i="6"/>
  <c r="G65" i="6"/>
  <c r="J64" i="6"/>
  <c r="H65" i="6"/>
  <c r="I63" i="5"/>
  <c r="K63" i="5"/>
  <c r="G64" i="5"/>
  <c r="J64" i="5"/>
  <c r="H65" i="5"/>
  <c r="I65" i="6" l="1"/>
  <c r="K65" i="6"/>
  <c r="G66" i="6"/>
  <c r="J65" i="6"/>
  <c r="H66" i="6"/>
  <c r="I64" i="5"/>
  <c r="K64" i="5"/>
  <c r="G65" i="5"/>
  <c r="J65" i="5"/>
  <c r="H66" i="5"/>
  <c r="I66" i="6" l="1"/>
  <c r="K66" i="6"/>
  <c r="G67" i="6"/>
  <c r="J66" i="6"/>
  <c r="H67" i="6"/>
  <c r="I65" i="5"/>
  <c r="K65" i="5"/>
  <c r="G66" i="5"/>
  <c r="J66" i="5"/>
  <c r="H67" i="5"/>
  <c r="I67" i="6" l="1"/>
  <c r="K67" i="6"/>
  <c r="G68" i="6"/>
  <c r="J67" i="6"/>
  <c r="H68" i="6"/>
  <c r="I66" i="5"/>
  <c r="K66" i="5"/>
  <c r="G67" i="5"/>
  <c r="J67" i="5"/>
  <c r="H68" i="5"/>
  <c r="I68" i="6" l="1"/>
  <c r="K68" i="6"/>
  <c r="G69" i="6"/>
  <c r="J68" i="6"/>
  <c r="H69" i="6"/>
  <c r="I67" i="5"/>
  <c r="K67" i="5"/>
  <c r="G68" i="5"/>
  <c r="J68" i="5"/>
  <c r="H69" i="5"/>
  <c r="I69" i="6" l="1"/>
  <c r="K69" i="6"/>
  <c r="G70" i="6"/>
  <c r="J69" i="6"/>
  <c r="H70" i="6"/>
  <c r="I68" i="5"/>
  <c r="K68" i="5"/>
  <c r="G69" i="5"/>
  <c r="J69" i="5"/>
  <c r="H70" i="5"/>
  <c r="I70" i="6" l="1"/>
  <c r="K70" i="6"/>
  <c r="G71" i="6"/>
  <c r="J70" i="6"/>
  <c r="H71" i="6"/>
  <c r="I69" i="5"/>
  <c r="K69" i="5"/>
  <c r="G70" i="5"/>
  <c r="J70" i="5"/>
  <c r="H71" i="5"/>
  <c r="I71" i="6" l="1"/>
  <c r="K71" i="6"/>
  <c r="G72" i="6"/>
  <c r="J71" i="6"/>
  <c r="H72" i="6"/>
  <c r="I70" i="5"/>
  <c r="K70" i="5"/>
  <c r="G71" i="5"/>
  <c r="J71" i="5"/>
  <c r="H72" i="5"/>
  <c r="I72" i="6" l="1"/>
  <c r="K72" i="6"/>
  <c r="G73" i="6"/>
  <c r="J72" i="6"/>
  <c r="H73" i="6"/>
  <c r="I71" i="5"/>
  <c r="K71" i="5"/>
  <c r="G72" i="5"/>
  <c r="J72" i="5"/>
  <c r="H73" i="5"/>
  <c r="I73" i="6" l="1"/>
  <c r="K73" i="6"/>
  <c r="G74" i="6"/>
  <c r="J73" i="6"/>
  <c r="H74" i="6"/>
  <c r="I72" i="5"/>
  <c r="K72" i="5"/>
  <c r="G73" i="5"/>
  <c r="J73" i="5"/>
  <c r="H74" i="5"/>
  <c r="I74" i="6" l="1"/>
  <c r="K74" i="6"/>
  <c r="G75" i="6"/>
  <c r="J74" i="6"/>
  <c r="H75" i="6"/>
  <c r="I73" i="5"/>
  <c r="K73" i="5"/>
  <c r="G74" i="5"/>
  <c r="J74" i="5"/>
  <c r="H75" i="5"/>
  <c r="I75" i="6" l="1"/>
  <c r="K75" i="6"/>
  <c r="G76" i="6"/>
  <c r="J75" i="6"/>
  <c r="H76" i="6"/>
  <c r="J76" i="6" s="1"/>
  <c r="N70" i="6" s="1"/>
  <c r="I74" i="5"/>
  <c r="K74" i="5"/>
  <c r="G75" i="5"/>
  <c r="J75" i="5"/>
  <c r="H76" i="5"/>
  <c r="E2" i="6" l="1"/>
  <c r="I76" i="6"/>
  <c r="K76" i="6"/>
  <c r="N72" i="6"/>
  <c r="N71" i="6"/>
  <c r="N75" i="6"/>
  <c r="N69" i="6"/>
  <c r="N68" i="6"/>
  <c r="N67" i="6"/>
  <c r="N66" i="6"/>
  <c r="N64" i="6"/>
  <c r="N65" i="6"/>
  <c r="N63" i="6"/>
  <c r="N62" i="6"/>
  <c r="N61" i="6"/>
  <c r="N60" i="6"/>
  <c r="N58" i="6"/>
  <c r="N59" i="6"/>
  <c r="N57" i="6"/>
  <c r="N55" i="6"/>
  <c r="N56" i="6"/>
  <c r="N54" i="6"/>
  <c r="N53" i="6"/>
  <c r="N52" i="6"/>
  <c r="N51" i="6"/>
  <c r="N50" i="6"/>
  <c r="N48" i="6"/>
  <c r="N49" i="6"/>
  <c r="N47" i="6"/>
  <c r="N45" i="6"/>
  <c r="N46" i="6"/>
  <c r="N44" i="6"/>
  <c r="N43" i="6"/>
  <c r="N42" i="6"/>
  <c r="N41" i="6"/>
  <c r="N40" i="6"/>
  <c r="N39" i="6"/>
  <c r="N37" i="6"/>
  <c r="N38" i="6"/>
  <c r="N36" i="6"/>
  <c r="N34" i="6"/>
  <c r="N35" i="6"/>
  <c r="N33" i="6"/>
  <c r="N32" i="6"/>
  <c r="N31" i="6"/>
  <c r="N30" i="6"/>
  <c r="N29" i="6"/>
  <c r="N28" i="6"/>
  <c r="N27" i="6"/>
  <c r="N26" i="6"/>
  <c r="N24" i="6"/>
  <c r="N25" i="6"/>
  <c r="N23" i="6"/>
  <c r="N22" i="6"/>
  <c r="N21" i="6"/>
  <c r="N20" i="6"/>
  <c r="N19" i="6"/>
  <c r="N17" i="6"/>
  <c r="N18" i="6"/>
  <c r="N16" i="6"/>
  <c r="E3" i="6" s="1"/>
  <c r="N76" i="6"/>
  <c r="I75" i="5"/>
  <c r="K75" i="5"/>
  <c r="G76" i="5"/>
  <c r="J76" i="5"/>
  <c r="H77" i="5"/>
  <c r="N74" i="6"/>
  <c r="N73" i="6"/>
  <c r="M72" i="6" l="1"/>
  <c r="M71" i="6"/>
  <c r="M74" i="6"/>
  <c r="E5" i="6"/>
  <c r="D3" i="2"/>
  <c r="E4" i="6"/>
  <c r="G2" i="6"/>
  <c r="M69" i="6"/>
  <c r="M70" i="6"/>
  <c r="M68" i="6"/>
  <c r="O68" i="6" s="1"/>
  <c r="P68" i="6" s="1"/>
  <c r="R68" i="6" s="1"/>
  <c r="M67" i="6"/>
  <c r="O67" i="6" s="1"/>
  <c r="P67" i="6" s="1"/>
  <c r="R67" i="6" s="1"/>
  <c r="M66" i="6"/>
  <c r="O66" i="6" s="1"/>
  <c r="P66" i="6" s="1"/>
  <c r="R66" i="6" s="1"/>
  <c r="M65" i="6"/>
  <c r="O65" i="6" s="1"/>
  <c r="P65" i="6" s="1"/>
  <c r="R65" i="6" s="1"/>
  <c r="M64" i="6"/>
  <c r="O64" i="6" s="1"/>
  <c r="P64" i="6" s="1"/>
  <c r="R64" i="6" s="1"/>
  <c r="M63" i="6"/>
  <c r="O63" i="6" s="1"/>
  <c r="P63" i="6" s="1"/>
  <c r="R63" i="6" s="1"/>
  <c r="M61" i="6"/>
  <c r="O61" i="6" s="1"/>
  <c r="P61" i="6" s="1"/>
  <c r="R61" i="6" s="1"/>
  <c r="M62" i="6"/>
  <c r="O62" i="6" s="1"/>
  <c r="P62" i="6" s="1"/>
  <c r="R62" i="6" s="1"/>
  <c r="M60" i="6"/>
  <c r="O60" i="6" s="1"/>
  <c r="P60" i="6" s="1"/>
  <c r="R60" i="6" s="1"/>
  <c r="M59" i="6"/>
  <c r="O59" i="6" s="1"/>
  <c r="P59" i="6" s="1"/>
  <c r="R59" i="6" s="1"/>
  <c r="M58" i="6"/>
  <c r="O58" i="6" s="1"/>
  <c r="P58" i="6" s="1"/>
  <c r="R58" i="6" s="1"/>
  <c r="M56" i="6"/>
  <c r="O56" i="6" s="1"/>
  <c r="P56" i="6" s="1"/>
  <c r="R56" i="6" s="1"/>
  <c r="M57" i="6"/>
  <c r="M55" i="6"/>
  <c r="O55" i="6" s="1"/>
  <c r="P55" i="6" s="1"/>
  <c r="R55" i="6" s="1"/>
  <c r="M54" i="6"/>
  <c r="O54" i="6" s="1"/>
  <c r="P54" i="6" s="1"/>
  <c r="R54" i="6" s="1"/>
  <c r="M53" i="6"/>
  <c r="M52" i="6"/>
  <c r="O52" i="6" s="1"/>
  <c r="P52" i="6" s="1"/>
  <c r="R52" i="6" s="1"/>
  <c r="M51" i="6"/>
  <c r="M50" i="6"/>
  <c r="O50" i="6" s="1"/>
  <c r="P50" i="6" s="1"/>
  <c r="R50" i="6" s="1"/>
  <c r="M49" i="6"/>
  <c r="O49" i="6" s="1"/>
  <c r="P49" i="6" s="1"/>
  <c r="R49" i="6" s="1"/>
  <c r="M48" i="6"/>
  <c r="M47" i="6"/>
  <c r="M46" i="6"/>
  <c r="O46" i="6" s="1"/>
  <c r="P46" i="6" s="1"/>
  <c r="R46" i="6" s="1"/>
  <c r="M45" i="6"/>
  <c r="O45" i="6" s="1"/>
  <c r="P45" i="6" s="1"/>
  <c r="R45" i="6" s="1"/>
  <c r="M44" i="6"/>
  <c r="O44" i="6" s="1"/>
  <c r="P44" i="6" s="1"/>
  <c r="R44" i="6" s="1"/>
  <c r="M42" i="6"/>
  <c r="O42" i="6" s="1"/>
  <c r="P42" i="6" s="1"/>
  <c r="R42" i="6" s="1"/>
  <c r="M43" i="6"/>
  <c r="O43" i="6" s="1"/>
  <c r="P43" i="6" s="1"/>
  <c r="R43" i="6" s="1"/>
  <c r="M41" i="6"/>
  <c r="O41" i="6" s="1"/>
  <c r="P41" i="6" s="1"/>
  <c r="R41" i="6" s="1"/>
  <c r="M40" i="6"/>
  <c r="M39" i="6"/>
  <c r="O39" i="6" s="1"/>
  <c r="P39" i="6" s="1"/>
  <c r="R39" i="6" s="1"/>
  <c r="M37" i="6"/>
  <c r="O37" i="6" s="1"/>
  <c r="P37" i="6" s="1"/>
  <c r="R37" i="6" s="1"/>
  <c r="M38" i="6"/>
  <c r="O38" i="6" s="1"/>
  <c r="P38" i="6" s="1"/>
  <c r="R38" i="6" s="1"/>
  <c r="M36" i="6"/>
  <c r="E13" i="6" s="1"/>
  <c r="G13" i="6" s="1"/>
  <c r="M34" i="6"/>
  <c r="M35" i="6"/>
  <c r="M33" i="6"/>
  <c r="M32" i="6"/>
  <c r="M31" i="6"/>
  <c r="M30" i="6"/>
  <c r="M28" i="6"/>
  <c r="M29" i="6"/>
  <c r="M27" i="6"/>
  <c r="M26" i="6"/>
  <c r="M25" i="6"/>
  <c r="M24" i="6"/>
  <c r="M23" i="6"/>
  <c r="M21" i="6"/>
  <c r="M22" i="6"/>
  <c r="M20" i="6"/>
  <c r="M18" i="6"/>
  <c r="M19" i="6"/>
  <c r="M17" i="6"/>
  <c r="M16" i="6"/>
  <c r="M76" i="6"/>
  <c r="O76" i="6"/>
  <c r="P76" i="6" s="1"/>
  <c r="R76" i="6" s="1"/>
  <c r="G3" i="6"/>
  <c r="E3" i="2"/>
  <c r="I76" i="5"/>
  <c r="K76" i="5"/>
  <c r="G77" i="5"/>
  <c r="J77" i="5"/>
  <c r="H78" i="5"/>
  <c r="M73" i="6"/>
  <c r="O73" i="6" s="1"/>
  <c r="P73" i="6" s="1"/>
  <c r="R73" i="6" s="1"/>
  <c r="M75" i="6"/>
  <c r="O75" i="6" s="1"/>
  <c r="P75" i="6" s="1"/>
  <c r="R75" i="6" s="1"/>
  <c r="E7" i="6" l="1"/>
  <c r="G5" i="6"/>
  <c r="G3" i="2"/>
  <c r="G4" i="6"/>
  <c r="F3" i="2"/>
  <c r="O25" i="6"/>
  <c r="P25" i="6" s="1"/>
  <c r="R25" i="6" s="1"/>
  <c r="O16" i="6"/>
  <c r="P16" i="6" s="1"/>
  <c r="R16" i="6" s="1"/>
  <c r="O35" i="6"/>
  <c r="P35" i="6" s="1"/>
  <c r="R35" i="6" s="1"/>
  <c r="O28" i="6"/>
  <c r="P28" i="6" s="1"/>
  <c r="R28" i="6" s="1"/>
  <c r="O21" i="6"/>
  <c r="P21" i="6" s="1"/>
  <c r="R21" i="6" s="1"/>
  <c r="O30" i="6"/>
  <c r="P30" i="6" s="1"/>
  <c r="R30" i="6" s="1"/>
  <c r="O24" i="6"/>
  <c r="P24" i="6" s="1"/>
  <c r="R24" i="6" s="1"/>
  <c r="O19" i="6"/>
  <c r="P19" i="6" s="1"/>
  <c r="R19" i="6" s="1"/>
  <c r="O22" i="6"/>
  <c r="P22" i="6" s="1"/>
  <c r="R22" i="6" s="1"/>
  <c r="O17" i="6"/>
  <c r="P17" i="6" s="1"/>
  <c r="R17" i="6" s="1"/>
  <c r="O31" i="6"/>
  <c r="P31" i="6" s="1"/>
  <c r="R31" i="6" s="1"/>
  <c r="O18" i="6"/>
  <c r="P18" i="6" s="1"/>
  <c r="R18" i="6" s="1"/>
  <c r="O20" i="6"/>
  <c r="P20" i="6" s="1"/>
  <c r="R20" i="6" s="1"/>
  <c r="O32" i="6"/>
  <c r="P32" i="6" s="1"/>
  <c r="R32" i="6" s="1"/>
  <c r="O27" i="6"/>
  <c r="P27" i="6" s="1"/>
  <c r="R27" i="6" s="1"/>
  <c r="E9" i="6"/>
  <c r="E10" i="6" s="1"/>
  <c r="O72" i="6"/>
  <c r="P72" i="6" s="1"/>
  <c r="R72" i="6" s="1"/>
  <c r="O51" i="6"/>
  <c r="P51" i="6" s="1"/>
  <c r="R51" i="6" s="1"/>
  <c r="O53" i="6"/>
  <c r="P53" i="6" s="1"/>
  <c r="R53" i="6" s="1"/>
  <c r="O71" i="6"/>
  <c r="P71" i="6" s="1"/>
  <c r="R71" i="6" s="1"/>
  <c r="O29" i="6"/>
  <c r="P29" i="6" s="1"/>
  <c r="R29" i="6" s="1"/>
  <c r="O48" i="6"/>
  <c r="P48" i="6" s="1"/>
  <c r="R48" i="6" s="1"/>
  <c r="O34" i="6"/>
  <c r="P34" i="6" s="1"/>
  <c r="R34" i="6" s="1"/>
  <c r="O36" i="6"/>
  <c r="P36" i="6" s="1"/>
  <c r="R36" i="6" s="1"/>
  <c r="O74" i="6"/>
  <c r="P74" i="6" s="1"/>
  <c r="R74" i="6" s="1"/>
  <c r="O23" i="6"/>
  <c r="P23" i="6" s="1"/>
  <c r="R23" i="6" s="1"/>
  <c r="O57" i="6"/>
  <c r="P57" i="6" s="1"/>
  <c r="R57" i="6" s="1"/>
  <c r="O47" i="6"/>
  <c r="P47" i="6" s="1"/>
  <c r="R47" i="6" s="1"/>
  <c r="O26" i="6"/>
  <c r="P26" i="6" s="1"/>
  <c r="R26" i="6" s="1"/>
  <c r="O33" i="6"/>
  <c r="P33" i="6" s="1"/>
  <c r="R33" i="6" s="1"/>
  <c r="I77" i="5"/>
  <c r="K77" i="5"/>
  <c r="G78" i="5"/>
  <c r="J78" i="5"/>
  <c r="H79" i="5"/>
  <c r="O69" i="6"/>
  <c r="P69" i="6" s="1"/>
  <c r="R69" i="6" s="1"/>
  <c r="O70" i="6"/>
  <c r="P70" i="6" s="1"/>
  <c r="R70" i="6" s="1"/>
  <c r="O40" i="6"/>
  <c r="P40" i="6" s="1"/>
  <c r="R40" i="6" s="1"/>
  <c r="E11" i="6" l="1"/>
  <c r="G10" i="6"/>
  <c r="H3" i="2"/>
  <c r="I78" i="5"/>
  <c r="K78" i="5"/>
  <c r="G79" i="5"/>
  <c r="J79" i="5"/>
  <c r="H80" i="5"/>
  <c r="O3" i="2"/>
  <c r="E12" i="6" l="1"/>
  <c r="G11" i="6"/>
  <c r="I3" i="2"/>
  <c r="K3" i="2" s="1"/>
  <c r="I79" i="5"/>
  <c r="K79" i="5"/>
  <c r="G80" i="5"/>
  <c r="J80" i="5"/>
  <c r="H81" i="5"/>
  <c r="G12" i="6" l="1"/>
  <c r="L3" i="2"/>
  <c r="N3" i="2" s="1"/>
  <c r="I80" i="5"/>
  <c r="K80" i="5"/>
  <c r="G81" i="5"/>
  <c r="J81" i="5"/>
  <c r="H82" i="5"/>
  <c r="K81" i="5" l="1"/>
  <c r="G82" i="5"/>
  <c r="I81" i="5"/>
  <c r="J82" i="5"/>
  <c r="H83" i="5"/>
  <c r="K82" i="5" l="1"/>
  <c r="G83" i="5"/>
  <c r="I82" i="5"/>
  <c r="J83" i="5"/>
  <c r="H84" i="5"/>
  <c r="I83" i="5" l="1"/>
  <c r="K83" i="5"/>
  <c r="G84" i="5"/>
  <c r="J84" i="5"/>
  <c r="H85" i="5"/>
  <c r="I84" i="5" l="1"/>
  <c r="K84" i="5"/>
  <c r="G85" i="5"/>
  <c r="J85" i="5"/>
  <c r="H86" i="5"/>
  <c r="I85" i="5" l="1"/>
  <c r="K85" i="5"/>
  <c r="G86" i="5"/>
  <c r="J86" i="5"/>
  <c r="H87" i="5"/>
  <c r="J87" i="5" s="1"/>
  <c r="N81" i="5" s="1"/>
  <c r="I86" i="5" l="1"/>
  <c r="K86" i="5"/>
  <c r="G87" i="5"/>
  <c r="N80" i="5"/>
  <c r="N79" i="5"/>
  <c r="N78" i="5"/>
  <c r="N77" i="5"/>
  <c r="N75" i="5"/>
  <c r="N76" i="5"/>
  <c r="N74" i="5"/>
  <c r="N73" i="5"/>
  <c r="N72" i="5"/>
  <c r="N70" i="5"/>
  <c r="N71" i="5"/>
  <c r="N68" i="5"/>
  <c r="N69" i="5"/>
  <c r="N67" i="5"/>
  <c r="N66" i="5"/>
  <c r="N65" i="5"/>
  <c r="N63" i="5"/>
  <c r="N64" i="5"/>
  <c r="N62" i="5"/>
  <c r="N60" i="5"/>
  <c r="N61" i="5"/>
  <c r="N59" i="5"/>
  <c r="N58" i="5"/>
  <c r="N57" i="5"/>
  <c r="N55" i="5"/>
  <c r="N56" i="5"/>
  <c r="N54" i="5"/>
  <c r="N53" i="5"/>
  <c r="N52" i="5"/>
  <c r="N50" i="5"/>
  <c r="N51" i="5"/>
  <c r="N49" i="5"/>
  <c r="N48" i="5"/>
  <c r="N47" i="5"/>
  <c r="N46" i="5"/>
  <c r="N45" i="5"/>
  <c r="N44" i="5"/>
  <c r="N43" i="5"/>
  <c r="N42" i="5"/>
  <c r="N41" i="5"/>
  <c r="N40" i="5"/>
  <c r="N38" i="5"/>
  <c r="N39" i="5"/>
  <c r="N37" i="5"/>
  <c r="N36" i="5"/>
  <c r="N35" i="5"/>
  <c r="N34" i="5"/>
  <c r="N33" i="5"/>
  <c r="N32" i="5"/>
  <c r="N31" i="5"/>
  <c r="N30" i="5"/>
  <c r="N28" i="5"/>
  <c r="N29" i="5"/>
  <c r="N27" i="5"/>
  <c r="N25" i="5"/>
  <c r="N26" i="5"/>
  <c r="N24" i="5"/>
  <c r="N23" i="5"/>
  <c r="N22" i="5"/>
  <c r="N20" i="5"/>
  <c r="N21" i="5"/>
  <c r="N19" i="5"/>
  <c r="N18" i="5"/>
  <c r="N17" i="5"/>
  <c r="N16" i="5"/>
  <c r="N87" i="5"/>
  <c r="N86" i="5"/>
  <c r="E2" i="5"/>
  <c r="N82" i="5"/>
  <c r="N84" i="5"/>
  <c r="N85" i="5"/>
  <c r="N83" i="5"/>
  <c r="I87" i="5" l="1"/>
  <c r="K87" i="5"/>
  <c r="E5" i="5"/>
  <c r="D2" i="2"/>
  <c r="G2" i="5"/>
  <c r="E3" i="5"/>
  <c r="E4" i="5" s="1"/>
  <c r="M83" i="5"/>
  <c r="M84" i="5" l="1"/>
  <c r="M86" i="5"/>
  <c r="M81" i="5"/>
  <c r="O81" i="5" s="1"/>
  <c r="P81" i="5" s="1"/>
  <c r="R81" i="5" s="1"/>
  <c r="M80" i="5"/>
  <c r="O80" i="5" s="1"/>
  <c r="P80" i="5" s="1"/>
  <c r="R80" i="5" s="1"/>
  <c r="M79" i="5"/>
  <c r="O79" i="5" s="1"/>
  <c r="P79" i="5" s="1"/>
  <c r="R79" i="5" s="1"/>
  <c r="M77" i="5"/>
  <c r="M78" i="5"/>
  <c r="O78" i="5" s="1"/>
  <c r="P78" i="5" s="1"/>
  <c r="R78" i="5" s="1"/>
  <c r="M76" i="5"/>
  <c r="O76" i="5" s="1"/>
  <c r="P76" i="5" s="1"/>
  <c r="R76" i="5" s="1"/>
  <c r="M75" i="5"/>
  <c r="O75" i="5" s="1"/>
  <c r="P75" i="5" s="1"/>
  <c r="R75" i="5" s="1"/>
  <c r="M74" i="5"/>
  <c r="O74" i="5" s="1"/>
  <c r="P74" i="5" s="1"/>
  <c r="R74" i="5" s="1"/>
  <c r="M73" i="5"/>
  <c r="O73" i="5" s="1"/>
  <c r="P73" i="5" s="1"/>
  <c r="R73" i="5" s="1"/>
  <c r="M72" i="5"/>
  <c r="O72" i="5" s="1"/>
  <c r="P72" i="5" s="1"/>
  <c r="R72" i="5" s="1"/>
  <c r="M70" i="5"/>
  <c r="O70" i="5" s="1"/>
  <c r="P70" i="5" s="1"/>
  <c r="R70" i="5" s="1"/>
  <c r="M71" i="5"/>
  <c r="M69" i="5"/>
  <c r="O69" i="5" s="1"/>
  <c r="P69" i="5" s="1"/>
  <c r="R69" i="5" s="1"/>
  <c r="M67" i="5"/>
  <c r="O67" i="5" s="1"/>
  <c r="P67" i="5" s="1"/>
  <c r="R67" i="5" s="1"/>
  <c r="M68" i="5"/>
  <c r="O68" i="5" s="1"/>
  <c r="P68" i="5" s="1"/>
  <c r="R68" i="5" s="1"/>
  <c r="M66" i="5"/>
  <c r="O66" i="5" s="1"/>
  <c r="P66" i="5" s="1"/>
  <c r="R66" i="5" s="1"/>
  <c r="M65" i="5"/>
  <c r="O65" i="5" s="1"/>
  <c r="P65" i="5" s="1"/>
  <c r="R65" i="5" s="1"/>
  <c r="M64" i="5"/>
  <c r="O64" i="5" s="1"/>
  <c r="P64" i="5" s="1"/>
  <c r="R64" i="5" s="1"/>
  <c r="M62" i="5"/>
  <c r="O62" i="5" s="1"/>
  <c r="P62" i="5" s="1"/>
  <c r="R62" i="5" s="1"/>
  <c r="M63" i="5"/>
  <c r="O63" i="5" s="1"/>
  <c r="P63" i="5" s="1"/>
  <c r="R63" i="5" s="1"/>
  <c r="M61" i="5"/>
  <c r="O61" i="5" s="1"/>
  <c r="P61" i="5" s="1"/>
  <c r="R61" i="5" s="1"/>
  <c r="M60" i="5"/>
  <c r="M59" i="5"/>
  <c r="O59" i="5" s="1"/>
  <c r="P59" i="5" s="1"/>
  <c r="R59" i="5" s="1"/>
  <c r="M58" i="5"/>
  <c r="O58" i="5" s="1"/>
  <c r="P58" i="5" s="1"/>
  <c r="R58" i="5" s="1"/>
  <c r="M57" i="5"/>
  <c r="O57" i="5" s="1"/>
  <c r="P57" i="5" s="1"/>
  <c r="R57" i="5" s="1"/>
  <c r="M55" i="5"/>
  <c r="O55" i="5" s="1"/>
  <c r="P55" i="5" s="1"/>
  <c r="R55" i="5" s="1"/>
  <c r="M54" i="5"/>
  <c r="O54" i="5" s="1"/>
  <c r="P54" i="5" s="1"/>
  <c r="R54" i="5" s="1"/>
  <c r="M56" i="5"/>
  <c r="M53" i="5"/>
  <c r="M51" i="5"/>
  <c r="M52" i="5"/>
  <c r="O52" i="5" s="1"/>
  <c r="P52" i="5" s="1"/>
  <c r="R52" i="5" s="1"/>
  <c r="M50" i="5"/>
  <c r="O50" i="5" s="1"/>
  <c r="P50" i="5" s="1"/>
  <c r="R50" i="5" s="1"/>
  <c r="M48" i="5"/>
  <c r="O48" i="5" s="1"/>
  <c r="P48" i="5" s="1"/>
  <c r="R48" i="5" s="1"/>
  <c r="M49" i="5"/>
  <c r="O49" i="5" s="1"/>
  <c r="P49" i="5" s="1"/>
  <c r="R49" i="5" s="1"/>
  <c r="M47" i="5"/>
  <c r="O47" i="5" s="1"/>
  <c r="P47" i="5" s="1"/>
  <c r="R47" i="5" s="1"/>
  <c r="M46" i="5"/>
  <c r="O46" i="5" s="1"/>
  <c r="P46" i="5" s="1"/>
  <c r="R46" i="5" s="1"/>
  <c r="M44" i="5"/>
  <c r="O44" i="5" s="1"/>
  <c r="P44" i="5" s="1"/>
  <c r="R44" i="5" s="1"/>
  <c r="M45" i="5"/>
  <c r="O45" i="5" s="1"/>
  <c r="P45" i="5" s="1"/>
  <c r="R45" i="5" s="1"/>
  <c r="M43" i="5"/>
  <c r="M42" i="5"/>
  <c r="O42" i="5" s="1"/>
  <c r="P42" i="5" s="1"/>
  <c r="R42" i="5" s="1"/>
  <c r="M41" i="5"/>
  <c r="M40" i="5"/>
  <c r="O40" i="5" s="1"/>
  <c r="P40" i="5" s="1"/>
  <c r="R40" i="5" s="1"/>
  <c r="M39" i="5"/>
  <c r="M38" i="5"/>
  <c r="O38" i="5" s="1"/>
  <c r="P38" i="5" s="1"/>
  <c r="R38" i="5" s="1"/>
  <c r="M37" i="5"/>
  <c r="M36" i="5"/>
  <c r="M35" i="5"/>
  <c r="M33" i="5"/>
  <c r="M34" i="5"/>
  <c r="M32" i="5"/>
  <c r="M30" i="5"/>
  <c r="M31" i="5"/>
  <c r="M27" i="5"/>
  <c r="M28" i="5"/>
  <c r="M29" i="5"/>
  <c r="M25" i="5"/>
  <c r="M26" i="5"/>
  <c r="M24" i="5"/>
  <c r="M23" i="5"/>
  <c r="M21" i="5"/>
  <c r="M22" i="5"/>
  <c r="M20" i="5"/>
  <c r="M18" i="5"/>
  <c r="M19" i="5"/>
  <c r="M17" i="5"/>
  <c r="M16" i="5"/>
  <c r="M87" i="5"/>
  <c r="O87" i="5"/>
  <c r="P87" i="5" s="1"/>
  <c r="R87" i="5" s="1"/>
  <c r="G4" i="5"/>
  <c r="F2" i="2"/>
  <c r="E7" i="5"/>
  <c r="G5" i="5"/>
  <c r="G2" i="2"/>
  <c r="E2" i="2"/>
  <c r="G3" i="5"/>
  <c r="M82" i="5"/>
  <c r="M85" i="5"/>
  <c r="O85" i="5" s="1"/>
  <c r="P85" i="5" s="1"/>
  <c r="R85" i="5" s="1"/>
  <c r="O29" i="5" l="1"/>
  <c r="P29" i="5" s="1"/>
  <c r="R29" i="5" s="1"/>
  <c r="O30" i="5"/>
  <c r="P30" i="5" s="1"/>
  <c r="R30" i="5" s="1"/>
  <c r="O36" i="5"/>
  <c r="P36" i="5" s="1"/>
  <c r="R36" i="5" s="1"/>
  <c r="E13" i="5"/>
  <c r="O17" i="5"/>
  <c r="P17" i="5" s="1"/>
  <c r="R17" i="5" s="1"/>
  <c r="O23" i="5"/>
  <c r="P23" i="5" s="1"/>
  <c r="R23" i="5" s="1"/>
  <c r="O28" i="5"/>
  <c r="P28" i="5" s="1"/>
  <c r="R28" i="5" s="1"/>
  <c r="E9" i="5"/>
  <c r="E10" i="5" s="1"/>
  <c r="O84" i="5"/>
  <c r="P84" i="5" s="1"/>
  <c r="R84" i="5" s="1"/>
  <c r="O86" i="5"/>
  <c r="P86" i="5" s="1"/>
  <c r="R86" i="5" s="1"/>
  <c r="O60" i="5"/>
  <c r="P60" i="5" s="1"/>
  <c r="R60" i="5" s="1"/>
  <c r="O43" i="5"/>
  <c r="P43" i="5" s="1"/>
  <c r="R43" i="5" s="1"/>
  <c r="O37" i="5"/>
  <c r="P37" i="5" s="1"/>
  <c r="R37" i="5" s="1"/>
  <c r="O83" i="5"/>
  <c r="P83" i="5" s="1"/>
  <c r="R83" i="5" s="1"/>
  <c r="O41" i="5"/>
  <c r="P41" i="5" s="1"/>
  <c r="R41" i="5" s="1"/>
  <c r="O82" i="5"/>
  <c r="P82" i="5" s="1"/>
  <c r="R82" i="5" s="1"/>
  <c r="O53" i="5"/>
  <c r="P53" i="5" s="1"/>
  <c r="R53" i="5" s="1"/>
  <c r="O71" i="5"/>
  <c r="P71" i="5" s="1"/>
  <c r="R71" i="5" s="1"/>
  <c r="O77" i="5"/>
  <c r="P77" i="5" s="1"/>
  <c r="R77" i="5" s="1"/>
  <c r="O56" i="5"/>
  <c r="P56" i="5" s="1"/>
  <c r="R56" i="5" s="1"/>
  <c r="O51" i="5"/>
  <c r="P51" i="5" s="1"/>
  <c r="R51" i="5" s="1"/>
  <c r="O39" i="5"/>
  <c r="P39" i="5" s="1"/>
  <c r="R39" i="5" s="1"/>
  <c r="O16" i="5" l="1"/>
  <c r="P16" i="5" s="1"/>
  <c r="R16" i="5" s="1"/>
  <c r="O22" i="5"/>
  <c r="P22" i="5" s="1"/>
  <c r="R22" i="5" s="1"/>
  <c r="O33" i="5"/>
  <c r="P33" i="5" s="1"/>
  <c r="R33" i="5" s="1"/>
  <c r="O34" i="5"/>
  <c r="P34" i="5" s="1"/>
  <c r="R34" i="5" s="1"/>
  <c r="O35" i="5"/>
  <c r="P35" i="5" s="1"/>
  <c r="R35" i="5" s="1"/>
  <c r="O32" i="5"/>
  <c r="P32" i="5" s="1"/>
  <c r="R32" i="5" s="1"/>
  <c r="O25" i="5"/>
  <c r="P25" i="5" s="1"/>
  <c r="R25" i="5" s="1"/>
  <c r="O27" i="5"/>
  <c r="P27" i="5" s="1"/>
  <c r="R27" i="5" s="1"/>
  <c r="O31" i="5"/>
  <c r="P31" i="5" s="1"/>
  <c r="R31" i="5" s="1"/>
  <c r="O24" i="5"/>
  <c r="P24" i="5" s="1"/>
  <c r="R24" i="5" s="1"/>
  <c r="G13" i="5"/>
  <c r="O18" i="5"/>
  <c r="P18" i="5" s="1"/>
  <c r="R18" i="5" s="1"/>
  <c r="O21" i="5"/>
  <c r="P21" i="5" s="1"/>
  <c r="R21" i="5" s="1"/>
  <c r="O26" i="5"/>
  <c r="P26" i="5" s="1"/>
  <c r="R26" i="5" s="1"/>
  <c r="O20" i="5"/>
  <c r="P20" i="5" s="1"/>
  <c r="R20" i="5" s="1"/>
  <c r="O19" i="5"/>
  <c r="P19" i="5" s="1"/>
  <c r="R19" i="5" s="1"/>
  <c r="G10" i="5"/>
  <c r="E11" i="5"/>
  <c r="H2" i="2"/>
  <c r="O2" i="2" l="1"/>
  <c r="O4" i="2" s="1"/>
  <c r="I2" i="2"/>
  <c r="E12" i="5"/>
  <c r="G11" i="5"/>
  <c r="K2" i="2" l="1"/>
  <c r="I4" i="2"/>
  <c r="K4" i="2" s="1"/>
  <c r="G12" i="5"/>
  <c r="L2" i="2"/>
  <c r="N2" i="2" l="1"/>
  <c r="L4" i="2"/>
  <c r="N4" i="2" s="1"/>
</calcChain>
</file>

<file path=xl/sharedStrings.xml><?xml version="1.0" encoding="utf-8"?>
<sst xmlns="http://schemas.openxmlformats.org/spreadsheetml/2006/main" count="173" uniqueCount="126">
  <si>
    <t>종신보험(암진단 포함) — 산출방법서 식 엑셀 검산</t>
  </si>
  <si>
    <t>계약 한 점: 남 40세 · 보험료 납입기간 20년 · 월납(k=12) · 보험기간은 담보 만기(종신 110세)</t>
  </si>
  <si>
    <t>담보: 사망·80% 이상 장해(사망형, 1억원, 110세) · 암 진단(진단형, 사망보험금의 50% = 5천만원, 100세, 90일 면책 → 첫해 급부 × (1 − 3/12))</t>
  </si>
  <si>
    <t>납입면제: 80% 이상 장해 · 암 진단 시 이후 보험료 면제. 사망은 계약 소멸(탈퇴). 납입면제 사유가 그 담보의 탈퇴 사유이기도 하면 다시 빼지 않는다</t>
  </si>
  <si>
    <t xml:space="preserve">   사망·80% 이상 장해: 탈퇴 = 사망 + 장해, 납입면제 f = 암 발생   /   암 진단: 탈퇴 = 사망 + 암 발생, 납입면제 f = 80% 이상 장해</t>
  </si>
  <si>
    <t>시트</t>
  </si>
  <si>
    <t xml:space="preserve">  입력      기초율·사업비·계약 (노란 칸을 바꾸면 모든 시트가 다시 계산된다)</t>
  </si>
  <si>
    <t xml:space="preserve">  위험률    연령 × 위험률 (계약 성별 — 공개 기본 위험률: 사망률 · 80% 이상 장해율 · 암발생률)</t>
  </si>
  <si>
    <t xml:space="preserve">  기수_*    담보마다 계산기수와 연말 책임준비금 V — 모두 수식. 초록 열 = 앱(자유설계보험) 값, 그 옆 = 차이</t>
  </si>
  <si>
    <t xml:space="preserve">  보험료    담보별 보험료와 앱 값의 차이 — 차이가 0 이면 산출방법서 식 = 앱 계산</t>
  </si>
  <si>
    <t>식 (산출방법서 3~5절과 같다)</t>
  </si>
  <si>
    <t xml:space="preserve">  탈퇴율 Q = q + r − q·r/2 ,  l_{t+1} = l_t·(1 − Q) ,  질병 F = 1 − (1 − r)(1 − f) ,  Q′ = q + F − q·F/2 ,  l′_{t+1} = l′_t·(1 − Q′)</t>
  </si>
  <si>
    <t xml:space="preserve">  (질병끼리는 곱으로, 사망과는 겹치는 부분을 절반으로 결합한다 · 보장기간 n = 만기 나이 − 가입나이, 종신(110세)은 + 1)</t>
  </si>
  <si>
    <t xml:space="preserve">  D = l·v^t ,  D′ = l′·v^t ,  C = l·g·v^{t+½} (사망형 g = Q, 진단형 g = 그 발생률) ,  N = Σ_{u≥t} D ,  N′ = Σ_{u≥t} D′</t>
  </si>
  <si>
    <t xml:space="preserve">  PVB = Σ S·C ,  N* = k·[(N′_x − N′_{x+m}) − (k−1)/(2k)·(D′_x − D′_{x+m})] ,  P = PVB/N* ,  P_base = PVB/(N′_x − N′_{x+min(n,20)})</t>
  </si>
  <si>
    <t xml:space="preserve">  G = [P + (α_S + α_P·P_base)·D′_x/N* + β_S/k + β′·(N_{x+m} − N_{x+n})/N*] / (1 − β_G − γ) ,  10만원당 G = ROUND(ROUND(G, 6)×100,000, 0)</t>
  </si>
  <si>
    <t xml:space="preserve">  V_t = [Σ_{u≥t} S·C + β′·(N_{x+max(t,m)} − N_{x+n}) − P_β·(N′_{x+t} − N′_{x+m})·[t≤m]] / D_{x+t} ,  P_β = [PVB + β′·(N_{x+m} − N_{x+n})] / (N′_x − N′_{x+m})</t>
  </si>
  <si>
    <t>행 수는 이 계약(40세)에 맞춰져 있다 — 가입나이를 바꾸려면 앱에서 다시 만든다(python scripts/make-verify-xlsx.py).</t>
  </si>
  <si>
    <t>담보</t>
  </si>
  <si>
    <t>n</t>
  </si>
  <si>
    <t>m</t>
  </si>
  <si>
    <t>PVB</t>
  </si>
  <si>
    <t>N*</t>
  </si>
  <si>
    <t>P</t>
  </si>
  <si>
    <t>P_base</t>
  </si>
  <si>
    <t>G (1원당)</t>
  </si>
  <si>
    <t>10만원당 G (엑셀)</t>
  </si>
  <si>
    <t>10만원당 G (앱)</t>
  </si>
  <si>
    <t>차이</t>
  </si>
  <si>
    <t>월보험료 (엑셀)</t>
  </si>
  <si>
    <t>월보험료 (앱)</t>
  </si>
  <si>
    <t>준비금 차이(최대)</t>
  </si>
  <si>
    <t>합계</t>
  </si>
  <si>
    <t>차이 열이 모두 0 이면 산출방법서의 식을 엑셀 수식으로 계산한 보험료·준비금이 자유설계보험의 계산과 같다. (기수_* 시트의 R열 = 연도별 준비금 차이)</t>
  </si>
  <si>
    <t>항목</t>
  </si>
  <si>
    <t>값</t>
  </si>
  <si>
    <t>이름(수식에서)</t>
  </si>
  <si>
    <t>비고</t>
  </si>
  <si>
    <t>적용이율 i</t>
  </si>
  <si>
    <t>이율</t>
  </si>
  <si>
    <t>예정이율</t>
  </si>
  <si>
    <t>현가율 v</t>
  </si>
  <si>
    <t>현가율</t>
  </si>
  <si>
    <t>가입나이 x</t>
  </si>
  <si>
    <t>가입나이</t>
  </si>
  <si>
    <t>남</t>
  </si>
  <si>
    <t>보험료 납입기간 m</t>
  </si>
  <si>
    <t>납입기간</t>
  </si>
  <si>
    <t>년</t>
  </si>
  <si>
    <t>납입주기별 계수 k</t>
  </si>
  <si>
    <t>납입주기</t>
  </si>
  <si>
    <t>월납 12</t>
  </si>
  <si>
    <t>보험기간(계약)</t>
  </si>
  <si>
    <t>보험기간</t>
  </si>
  <si>
    <t>담보 만기 중 가장 늦은 것</t>
  </si>
  <si>
    <t>α_S 신계약비(가입금액)</t>
  </si>
  <si>
    <t>알파S</t>
  </si>
  <si>
    <t>보험가입금액 비례</t>
  </si>
  <si>
    <t>α_P 신계약비(기준연납순보험료 배수)</t>
  </si>
  <si>
    <t>알파P</t>
  </si>
  <si>
    <t>보장기간 20년 미만이면 × n/20</t>
  </si>
  <si>
    <t>β_S 유지비(납입중)</t>
  </si>
  <si>
    <t>베타S</t>
  </si>
  <si>
    <t>매년 보험가입금액 — 1회 납입당 β_S/k</t>
  </si>
  <si>
    <t>β_G 유지비(영업보험료)</t>
  </si>
  <si>
    <t>베타G</t>
  </si>
  <si>
    <t>β′ 납입후 유지비</t>
  </si>
  <si>
    <t>베타후</t>
  </si>
  <si>
    <t>매년 보험가입금액</t>
  </si>
  <si>
    <t>γ 수금비</t>
  </si>
  <si>
    <t>감마</t>
  </si>
  <si>
    <t>영업보험료</t>
  </si>
  <si>
    <t>연령</t>
  </si>
  <si>
    <t>사망률 (남)</t>
  </si>
  <si>
    <t>80% 이상 장해율 (남)</t>
  </si>
  <si>
    <t>암발생률 (남)</t>
  </si>
  <si>
    <t>사망·80% 이상 장해</t>
  </si>
  <si>
    <t>엑셀(수식)</t>
  </si>
  <si>
    <t>앱(자유설계보험)</t>
  </si>
  <si>
    <t>보장금액</t>
  </si>
  <si>
    <t>PVB = Σ S·C</t>
  </si>
  <si>
    <t>만기 나이</t>
  </si>
  <si>
    <t>N* (연납 환산 납입기수)</t>
  </si>
  <si>
    <t>보장기간 n</t>
  </si>
  <si>
    <t>P = PVB/N*</t>
  </si>
  <si>
    <t>납입기간 m</t>
  </si>
  <si>
    <t>P_base (기준연납순보험료)</t>
  </si>
  <si>
    <t>면책(개월)</t>
  </si>
  <si>
    <t>α_P 적용 = α_P·min(n,20)/20</t>
  </si>
  <si>
    <t>첫해 급부 배율</t>
  </si>
  <si>
    <t>신계약비 부가 (α_S+α_P·P_base)·D′x/N*</t>
  </si>
  <si>
    <t>탈퇴 사유</t>
  </si>
  <si>
    <t>사망 + 80% 이상 장해율</t>
  </si>
  <si>
    <t>β_S 부가 = β_S/k</t>
  </si>
  <si>
    <t>납입면제 f</t>
  </si>
  <si>
    <t>암발생률</t>
  </si>
  <si>
    <t>β′ 부가 = β′·(N_m − N_n)/N*</t>
  </si>
  <si>
    <t>급부 g</t>
  </si>
  <si>
    <t>탈퇴 전부 (사망형 — g = Q)</t>
  </si>
  <si>
    <t>G (영업보험료, 1원당)</t>
  </si>
  <si>
    <t>10만원당 G (1원당 6자리 → 10만원당 반올림)</t>
  </si>
  <si>
    <t>월보험료 = 10만원당 G × 보장금액/10만</t>
  </si>
  <si>
    <t>P_β (준비금용 순보험료)</t>
  </si>
  <si>
    <t>t</t>
  </si>
  <si>
    <t>나이</t>
  </si>
  <si>
    <t>q 사망률</t>
  </si>
  <si>
    <t>탈퇴2 80% 이상 장해율</t>
  </si>
  <si>
    <t>f 암발생률</t>
  </si>
  <si>
    <t>Q 탈퇴율</t>
  </si>
  <si>
    <t>l 유지자수</t>
  </si>
  <si>
    <t>l′ 납입자수</t>
  </si>
  <si>
    <t>D</t>
  </si>
  <si>
    <t>D′</t>
  </si>
  <si>
    <t>C</t>
  </si>
  <si>
    <t>S</t>
  </si>
  <si>
    <t>N</t>
  </si>
  <si>
    <t>N′</t>
  </si>
  <si>
    <t>V (1원당)</t>
  </si>
  <si>
    <t>V 10만원당</t>
  </si>
  <si>
    <t>앱 V 10만원당</t>
  </si>
  <si>
    <t>암 진단</t>
  </si>
  <si>
    <t>사망 + 암발생률</t>
  </si>
  <si>
    <t>80% 이상 장해율</t>
  </si>
  <si>
    <t>암발생률 (진단형)</t>
  </si>
  <si>
    <t>탈퇴2 암발생률</t>
  </si>
  <si>
    <t>f 80% 이상 장해율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</si>
</sst>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000"/>
    <numFmt numFmtId="177" formatCode="0.000000000"/>
    <numFmt numFmtId="178" formatCode="0.0E+00"/>
    <numFmt numFmtId="179" formatCode="#,##0.000"/>
    <numFmt numFmtId="180" formatCode="0.0000000"/>
    <numFmt numFmtId="181" formatCode="#,##0.0000"/>
    <numFmt numFmtId="182" formatCode="0.0000000000"/>
  </numFmts>
  <fonts count="4" x14ac:knownFonts="1">
    <font>
      <sz val="11"/>
      <color theme="1"/>
      <name val="맑은 고딕"/>
      <family val="2"/>
      <scheme val="minor"/>
    </font>
    <font>
      <b/>
      <sz val="14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4D6"/>
      </patternFill>
    </fill>
    <fill>
      <patternFill patternType="solid">
        <fgColor rgb="FFDCE6F1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3" borderId="0" xfId="0" applyFont="1" applyFill="1" applyAlignment="1">
      <alignment wrapText="1"/>
    </xf>
    <xf numFmtId="181" fontId="0" fillId="0" borderId="0" xfId="0" applyNumberFormat="1"/>
    <xf numFmtId="4" fontId="0" fillId="0" borderId="0" xfId="0" applyNumberFormat="1"/>
    <xf numFmtId="182" fontId="0" fillId="0" borderId="0" xfId="0" applyNumberFormat="1"/>
    <xf numFmtId="3" fontId="0" fillId="0" borderId="0" xfId="0" applyNumberFormat="1"/>
    <xf numFmtId="3" fontId="0" fillId="4" borderId="0" xfId="0" applyNumberFormat="1" applyFill="1"/>
    <xf numFmtId="0" fontId="2" fillId="0" borderId="1" xfId="0" applyFont="1" applyBorder="1"/>
    <xf numFmtId="3" fontId="2" fillId="0" borderId="1" xfId="0" applyNumberFormat="1" applyFont="1" applyBorder="1"/>
    <xf numFmtId="3" fontId="2" fillId="4" borderId="1" xfId="0" applyNumberFormat="1" applyFont="1" applyFill="1" applyBorder="1"/>
    <xf numFmtId="0" fontId="2" fillId="3" borderId="0" xfId="0" applyFont="1" applyFill="1"/>
    <xf numFmtId="0" fontId="0" fillId="2" borderId="0" xfId="0" applyFill="1"/>
    <xf numFmtId="176" fontId="0" fillId="2" borderId="0" xfId="0" applyNumberFormat="1" applyFill="1"/>
    <xf numFmtId="0" fontId="2" fillId="0" borderId="0" xfId="0" applyFont="1"/>
    <xf numFmtId="177" fontId="0" fillId="0" borderId="0" xfId="0" applyNumberFormat="1"/>
    <xf numFmtId="177" fontId="0" fillId="4" borderId="0" xfId="0" applyNumberFormat="1" applyFill="1"/>
    <xf numFmtId="178" fontId="0" fillId="0" borderId="0" xfId="0" applyNumberFormat="1"/>
    <xf numFmtId="0" fontId="2" fillId="4" borderId="0" xfId="0" applyFont="1" applyFill="1" applyAlignment="1">
      <alignment wrapText="1"/>
    </xf>
    <xf numFmtId="176" fontId="0" fillId="0" borderId="0" xfId="0" applyNumberFormat="1"/>
    <xf numFmtId="179" fontId="0" fillId="0" borderId="0" xfId="0" applyNumberFormat="1"/>
    <xf numFmtId="2" fontId="0" fillId="0" borderId="0" xfId="0" applyNumberFormat="1"/>
    <xf numFmtId="180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tabSelected="1" workbookViewId="0"/>
  </sheetViews>
  <sheetFormatPr defaultRowHeight="17" x14ac:dyDescent="0.45"/>
  <cols>
    <col min="1" max="1" width="150" customWidth="1"/>
  </cols>
  <sheetData>
    <row r="1" spans="1:1" ht="21" x14ac:dyDescent="0.55000000000000004">
      <c r="A1" s="1" t="s">
        <v>0</v>
      </c>
    </row>
    <row r="3" spans="1:1" x14ac:dyDescent="0.45">
      <c r="A3" t="s">
        <v>1</v>
      </c>
    </row>
    <row r="4" spans="1:1" x14ac:dyDescent="0.45">
      <c r="A4" t="s">
        <v>2</v>
      </c>
    </row>
    <row r="5" spans="1:1" x14ac:dyDescent="0.45">
      <c r="A5" t="s">
        <v>3</v>
      </c>
    </row>
    <row r="6" spans="1:1" x14ac:dyDescent="0.45">
      <c r="A6" t="s">
        <v>4</v>
      </c>
    </row>
    <row r="8" spans="1:1" x14ac:dyDescent="0.45">
      <c r="A8" t="s">
        <v>5</v>
      </c>
    </row>
    <row r="9" spans="1:1" x14ac:dyDescent="0.45">
      <c r="A9" t="s">
        <v>6</v>
      </c>
    </row>
    <row r="10" spans="1:1" x14ac:dyDescent="0.45">
      <c r="A10" t="s">
        <v>7</v>
      </c>
    </row>
    <row r="11" spans="1:1" x14ac:dyDescent="0.45">
      <c r="A11" t="s">
        <v>8</v>
      </c>
    </row>
    <row r="12" spans="1:1" x14ac:dyDescent="0.45">
      <c r="A12" t="s">
        <v>9</v>
      </c>
    </row>
    <row r="14" spans="1:1" x14ac:dyDescent="0.45">
      <c r="A14" t="s">
        <v>10</v>
      </c>
    </row>
    <row r="15" spans="1:1" x14ac:dyDescent="0.45">
      <c r="A15" t="s">
        <v>11</v>
      </c>
    </row>
    <row r="16" spans="1:1" x14ac:dyDescent="0.45">
      <c r="A16" t="s">
        <v>12</v>
      </c>
    </row>
    <row r="17" spans="1:1" x14ac:dyDescent="0.45">
      <c r="A17" t="s">
        <v>13</v>
      </c>
    </row>
    <row r="18" spans="1:1" x14ac:dyDescent="0.45">
      <c r="A18" t="s">
        <v>14</v>
      </c>
    </row>
    <row r="19" spans="1:1" x14ac:dyDescent="0.45">
      <c r="A19" t="s">
        <v>15</v>
      </c>
    </row>
    <row r="20" spans="1:1" x14ac:dyDescent="0.45">
      <c r="A20" t="s">
        <v>16</v>
      </c>
    </row>
    <row r="22" spans="1:1" x14ac:dyDescent="0.45">
      <c r="A22" t="s">
        <v>17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"/>
  <sheetViews>
    <sheetView workbookViewId="0"/>
  </sheetViews>
  <sheetFormatPr defaultRowHeight="17" x14ac:dyDescent="0.45"/>
  <cols>
    <col min="1" max="1" width="22" customWidth="1"/>
    <col min="2" max="15" width="14" customWidth="1"/>
  </cols>
  <sheetData>
    <row r="1" spans="1:15" ht="34" x14ac:dyDescent="0.45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28</v>
      </c>
      <c r="O1" s="2" t="s">
        <v>31</v>
      </c>
    </row>
    <row r="2" spans="1:15" x14ac:dyDescent="0.45">
      <c r="A2" t="str">
        <f>기수_사망장해!B1</f>
        <v>사망·80% 이상 장해</v>
      </c>
      <c r="B2">
        <f>기수_사망장해!B4</f>
        <v>71</v>
      </c>
      <c r="C2">
        <f>기수_사망장해!B5</f>
        <v>20</v>
      </c>
      <c r="D2" s="3">
        <f>기수_사망장해!E2</f>
        <v>37039.245334460851</v>
      </c>
      <c r="E2" s="4">
        <f>기수_사망장해!E3</f>
        <v>18049366.356479973</v>
      </c>
      <c r="F2" s="5">
        <f>기수_사망장해!E4</f>
        <v>2.0521077916490541E-3</v>
      </c>
      <c r="G2" s="5">
        <f>기수_사망장해!E5</f>
        <v>2.4275338098960746E-2</v>
      </c>
      <c r="H2" s="5">
        <f>기수_사망장해!E10</f>
        <v>2.6064904852243142E-3</v>
      </c>
      <c r="I2" s="6">
        <f>기수_사망장해!E11</f>
        <v>261</v>
      </c>
      <c r="J2" s="7">
        <v>261</v>
      </c>
      <c r="K2" s="6">
        <f>I2-J2</f>
        <v>0</v>
      </c>
      <c r="L2" s="6">
        <f>기수_사망장해!E12</f>
        <v>261000</v>
      </c>
      <c r="M2" s="7">
        <v>261000</v>
      </c>
      <c r="N2" s="6">
        <f>L2-M2</f>
        <v>0</v>
      </c>
      <c r="O2" s="6">
        <f>MAX(MAX(기수_사망장해!R16:R87),-MIN(기수_사망장해!R16:R87))</f>
        <v>0</v>
      </c>
    </row>
    <row r="3" spans="1:15" x14ac:dyDescent="0.45">
      <c r="A3" t="str">
        <f>기수_암진단!B1</f>
        <v>암 진단</v>
      </c>
      <c r="B3">
        <f>기수_암진단!B4</f>
        <v>60</v>
      </c>
      <c r="C3">
        <f>기수_암진단!B5</f>
        <v>20</v>
      </c>
      <c r="D3" s="3">
        <f>기수_암진단!E2</f>
        <v>21798.299750004211</v>
      </c>
      <c r="E3" s="4">
        <f>기수_암진단!E3</f>
        <v>18049366.356479976</v>
      </c>
      <c r="F3" s="5">
        <f>기수_암진단!E4</f>
        <v>1.2077044323596609E-3</v>
      </c>
      <c r="G3" s="5">
        <f>기수_암진단!E5</f>
        <v>1.4286497784594947E-2</v>
      </c>
      <c r="H3" s="5">
        <f>기수_암진단!E10</f>
        <v>1.6245758200827635E-3</v>
      </c>
      <c r="I3" s="6">
        <f>기수_암진단!E11</f>
        <v>163</v>
      </c>
      <c r="J3" s="7">
        <v>163</v>
      </c>
      <c r="K3" s="6">
        <f>I3-J3</f>
        <v>0</v>
      </c>
      <c r="L3" s="6">
        <f>기수_암진단!E12</f>
        <v>81500</v>
      </c>
      <c r="M3" s="7">
        <v>81500</v>
      </c>
      <c r="N3" s="6">
        <f>L3-M3</f>
        <v>0</v>
      </c>
      <c r="O3" s="6">
        <f>MAX(MAX(기수_암진단!R16:R76),-MIN(기수_암진단!R16:R76))</f>
        <v>0</v>
      </c>
    </row>
    <row r="4" spans="1:15" x14ac:dyDescent="0.45">
      <c r="A4" s="8" t="s">
        <v>32</v>
      </c>
      <c r="B4" s="8"/>
      <c r="C4" s="8"/>
      <c r="D4" s="8"/>
      <c r="E4" s="8"/>
      <c r="F4" s="8"/>
      <c r="G4" s="8"/>
      <c r="H4" s="8"/>
      <c r="I4" s="9">
        <f>SUM(I2:I3)</f>
        <v>424</v>
      </c>
      <c r="J4" s="9">
        <f>SUM(J2:J3)</f>
        <v>424</v>
      </c>
      <c r="K4" s="9">
        <f>I4-J4</f>
        <v>0</v>
      </c>
      <c r="L4" s="9">
        <f>SUM(L2:L3)</f>
        <v>342500</v>
      </c>
      <c r="M4" s="10">
        <v>342500</v>
      </c>
      <c r="N4" s="9">
        <f>L4-M4</f>
        <v>0</v>
      </c>
      <c r="O4" s="9">
        <f>MAX(O2:O3)</f>
        <v>0</v>
      </c>
    </row>
    <row r="6" spans="1:15" x14ac:dyDescent="0.45">
      <c r="A6" t="s">
        <v>33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workbookViewId="0"/>
  </sheetViews>
  <sheetFormatPr defaultRowHeight="17" x14ac:dyDescent="0.45"/>
  <cols>
    <col min="1" max="1" width="34" customWidth="1"/>
    <col min="2" max="3" width="14" customWidth="1"/>
    <col min="4" max="4" width="40" customWidth="1"/>
  </cols>
  <sheetData>
    <row r="1" spans="1:4" x14ac:dyDescent="0.45">
      <c r="A1" s="11" t="s">
        <v>34</v>
      </c>
      <c r="B1" s="11" t="s">
        <v>35</v>
      </c>
      <c r="C1" s="11" t="s">
        <v>36</v>
      </c>
      <c r="D1" s="11" t="s">
        <v>37</v>
      </c>
    </row>
    <row r="2" spans="1:4" x14ac:dyDescent="0.45">
      <c r="A2" t="s">
        <v>38</v>
      </c>
      <c r="B2" s="12">
        <v>2.5000000000000001E-2</v>
      </c>
      <c r="C2" t="s">
        <v>39</v>
      </c>
      <c r="D2" t="s">
        <v>40</v>
      </c>
    </row>
    <row r="3" spans="1:4" x14ac:dyDescent="0.45">
      <c r="A3" t="s">
        <v>41</v>
      </c>
      <c r="B3">
        <f>1/(1+이율)</f>
        <v>0.97560975609756106</v>
      </c>
      <c r="C3" t="s">
        <v>42</v>
      </c>
      <c r="D3" t="e">
        <f>1/(1+i)</f>
        <v>#NAME?</v>
      </c>
    </row>
    <row r="4" spans="1:4" x14ac:dyDescent="0.45">
      <c r="A4" t="s">
        <v>43</v>
      </c>
      <c r="B4" s="12">
        <v>40</v>
      </c>
      <c r="C4" t="s">
        <v>44</v>
      </c>
      <c r="D4" t="s">
        <v>45</v>
      </c>
    </row>
    <row r="5" spans="1:4" x14ac:dyDescent="0.45">
      <c r="A5" t="s">
        <v>46</v>
      </c>
      <c r="B5" s="12">
        <v>20</v>
      </c>
      <c r="C5" t="s">
        <v>47</v>
      </c>
      <c r="D5" t="s">
        <v>48</v>
      </c>
    </row>
    <row r="6" spans="1:4" x14ac:dyDescent="0.45">
      <c r="A6" t="s">
        <v>49</v>
      </c>
      <c r="B6" s="12">
        <v>12</v>
      </c>
      <c r="C6" t="s">
        <v>50</v>
      </c>
      <c r="D6" t="s">
        <v>51</v>
      </c>
    </row>
    <row r="7" spans="1:4" x14ac:dyDescent="0.45">
      <c r="A7" t="s">
        <v>52</v>
      </c>
      <c r="B7">
        <f>MAX(IF(기수_사망장해!B3&gt;=110,기수_사망장해!B3+1,기수_사망장해!B3),IF(기수_암진단!B3&gt;=110,기수_암진단!B3+1,기수_암진단!B3))-가입나이</f>
        <v>71</v>
      </c>
      <c r="C7" t="s">
        <v>53</v>
      </c>
      <c r="D7" t="s">
        <v>54</v>
      </c>
    </row>
    <row r="8" spans="1:4" x14ac:dyDescent="0.45">
      <c r="A8" t="s">
        <v>55</v>
      </c>
      <c r="B8" s="12">
        <v>0.01</v>
      </c>
      <c r="C8" t="s">
        <v>56</v>
      </c>
      <c r="D8" t="s">
        <v>57</v>
      </c>
    </row>
    <row r="9" spans="1:4" x14ac:dyDescent="0.45">
      <c r="A9" t="s">
        <v>58</v>
      </c>
      <c r="B9" s="12">
        <v>1</v>
      </c>
      <c r="C9" t="s">
        <v>59</v>
      </c>
      <c r="D9" t="s">
        <v>60</v>
      </c>
    </row>
    <row r="10" spans="1:4" x14ac:dyDescent="0.45">
      <c r="A10" t="s">
        <v>61</v>
      </c>
      <c r="B10" s="12">
        <v>1.5E-3</v>
      </c>
      <c r="C10" t="s">
        <v>62</v>
      </c>
      <c r="D10" t="s">
        <v>63</v>
      </c>
    </row>
    <row r="11" spans="1:4" x14ac:dyDescent="0.45">
      <c r="A11" t="s">
        <v>64</v>
      </c>
      <c r="B11" s="12">
        <v>4.4999999999999998E-2</v>
      </c>
      <c r="C11" t="s">
        <v>65</v>
      </c>
    </row>
    <row r="12" spans="1:4" x14ac:dyDescent="0.45">
      <c r="A12" t="s">
        <v>66</v>
      </c>
      <c r="B12" s="12">
        <v>1E-3</v>
      </c>
      <c r="C12" t="s">
        <v>67</v>
      </c>
      <c r="D12" t="s">
        <v>68</v>
      </c>
    </row>
    <row r="13" spans="1:4" x14ac:dyDescent="0.45">
      <c r="A13" t="s">
        <v>69</v>
      </c>
      <c r="B13" s="12">
        <v>2.5000000000000001E-2</v>
      </c>
      <c r="C13" t="s">
        <v>70</v>
      </c>
      <c r="D13" t="s">
        <v>71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8" customWidth="1"/>
    <col min="2" max="4" width="22" customWidth="1"/>
  </cols>
  <sheetData>
    <row r="1" spans="1:4" x14ac:dyDescent="0.45">
      <c r="A1" s="11" t="s">
        <v>72</v>
      </c>
      <c r="B1" s="11" t="s">
        <v>73</v>
      </c>
      <c r="C1" s="11" t="s">
        <v>74</v>
      </c>
      <c r="D1" s="11" t="s">
        <v>75</v>
      </c>
    </row>
    <row r="2" spans="1:4" x14ac:dyDescent="0.45">
      <c r="A2">
        <v>0</v>
      </c>
      <c r="B2" s="13">
        <v>2.8419999999999999E-3</v>
      </c>
      <c r="C2" s="13">
        <v>3.1404E-5</v>
      </c>
      <c r="D2" s="13">
        <v>2.4489999999999999E-4</v>
      </c>
    </row>
    <row r="3" spans="1:4" x14ac:dyDescent="0.45">
      <c r="A3">
        <v>1</v>
      </c>
      <c r="B3" s="13">
        <v>1.495E-3</v>
      </c>
      <c r="C3" s="13">
        <v>3.0244E-5</v>
      </c>
      <c r="D3" s="13">
        <v>2.141E-4</v>
      </c>
    </row>
    <row r="4" spans="1:4" x14ac:dyDescent="0.45">
      <c r="A4">
        <v>2</v>
      </c>
      <c r="B4" s="13">
        <v>8.8699999999999998E-4</v>
      </c>
      <c r="C4" s="13">
        <v>3.0244E-5</v>
      </c>
      <c r="D4" s="13">
        <v>1.8919999999999999E-4</v>
      </c>
    </row>
    <row r="5" spans="1:4" x14ac:dyDescent="0.45">
      <c r="A5">
        <v>3</v>
      </c>
      <c r="B5" s="13">
        <v>4.3600000000000003E-4</v>
      </c>
      <c r="C5" s="13">
        <v>2.8784000000000001E-5</v>
      </c>
      <c r="D5" s="13">
        <v>1.7149999999999999E-4</v>
      </c>
    </row>
    <row r="6" spans="1:4" x14ac:dyDescent="0.45">
      <c r="A6">
        <v>4</v>
      </c>
      <c r="B6" s="13">
        <v>1.662E-4</v>
      </c>
      <c r="C6" s="13">
        <v>2.8784000000000001E-5</v>
      </c>
      <c r="D6" s="13">
        <v>1.628E-4</v>
      </c>
    </row>
    <row r="7" spans="1:4" x14ac:dyDescent="0.45">
      <c r="A7">
        <v>5</v>
      </c>
      <c r="B7" s="13">
        <v>5.9320000000000001E-5</v>
      </c>
      <c r="C7" s="13">
        <v>2.8784000000000001E-5</v>
      </c>
      <c r="D7" s="13">
        <v>1.6090000000000001E-4</v>
      </c>
    </row>
    <row r="8" spans="1:4" x14ac:dyDescent="0.45">
      <c r="A8">
        <v>6</v>
      </c>
      <c r="B8" s="13">
        <v>5.9320000000000001E-5</v>
      </c>
      <c r="C8" s="13">
        <v>2.7304000000000002E-5</v>
      </c>
      <c r="D8" s="13">
        <v>1.6559999999999999E-4</v>
      </c>
    </row>
    <row r="9" spans="1:4" x14ac:dyDescent="0.45">
      <c r="A9">
        <v>7</v>
      </c>
      <c r="B9" s="13">
        <v>9.0790000000000003E-5</v>
      </c>
      <c r="C9" s="13">
        <v>2.6364E-5</v>
      </c>
      <c r="D9" s="13">
        <v>1.75E-4</v>
      </c>
    </row>
    <row r="10" spans="1:4" x14ac:dyDescent="0.45">
      <c r="A10">
        <v>8</v>
      </c>
      <c r="B10" s="13">
        <v>9.0790000000000003E-5</v>
      </c>
      <c r="C10" s="13">
        <v>2.4544000000000001E-5</v>
      </c>
      <c r="D10" s="13">
        <v>1.8870000000000001E-4</v>
      </c>
    </row>
    <row r="11" spans="1:4" x14ac:dyDescent="0.45">
      <c r="A11">
        <v>9</v>
      </c>
      <c r="B11" s="13">
        <v>9.0790000000000003E-5</v>
      </c>
      <c r="C11" s="13">
        <v>2.3754E-5</v>
      </c>
      <c r="D11" s="13">
        <v>2.065E-4</v>
      </c>
    </row>
    <row r="12" spans="1:4" x14ac:dyDescent="0.45">
      <c r="A12">
        <v>10</v>
      </c>
      <c r="B12" s="13">
        <v>8.0840000000000005E-5</v>
      </c>
      <c r="C12" s="13">
        <v>2.1994E-5</v>
      </c>
      <c r="D12" s="13">
        <v>2.263E-4</v>
      </c>
    </row>
    <row r="13" spans="1:4" x14ac:dyDescent="0.45">
      <c r="A13">
        <v>11</v>
      </c>
      <c r="B13" s="13">
        <v>9.0169999999999999E-5</v>
      </c>
      <c r="C13" s="13">
        <v>2.1203999999999999E-5</v>
      </c>
      <c r="D13" s="13">
        <v>2.43E-4</v>
      </c>
    </row>
    <row r="14" spans="1:4" x14ac:dyDescent="0.45">
      <c r="A14">
        <v>12</v>
      </c>
      <c r="B14" s="13">
        <v>9.9019999999999997E-5</v>
      </c>
      <c r="C14" s="13">
        <v>2.0373999999999998E-5</v>
      </c>
      <c r="D14" s="13">
        <v>2.5589999999999999E-4</v>
      </c>
    </row>
    <row r="15" spans="1:4" x14ac:dyDescent="0.45">
      <c r="A15">
        <v>13</v>
      </c>
      <c r="B15" s="13">
        <v>1.1730000000000001E-4</v>
      </c>
      <c r="C15" s="13">
        <v>1.9474E-5</v>
      </c>
      <c r="D15" s="13">
        <v>2.6279999999999999E-4</v>
      </c>
    </row>
    <row r="16" spans="1:4" x14ac:dyDescent="0.45">
      <c r="A16">
        <v>14</v>
      </c>
      <c r="B16" s="13">
        <v>1.449E-4</v>
      </c>
      <c r="C16" s="13">
        <v>1.6436E-5</v>
      </c>
      <c r="D16" s="13">
        <v>2.6830000000000002E-4</v>
      </c>
    </row>
    <row r="17" spans="1:4" x14ac:dyDescent="0.45">
      <c r="A17">
        <v>15</v>
      </c>
      <c r="B17" s="13">
        <v>1.819E-4</v>
      </c>
      <c r="C17" s="13">
        <v>2.9023999999999999E-5</v>
      </c>
      <c r="D17" s="13">
        <v>2.7290000000000002E-4</v>
      </c>
    </row>
    <row r="18" spans="1:4" x14ac:dyDescent="0.45">
      <c r="A18">
        <v>16</v>
      </c>
      <c r="B18" s="13">
        <v>2.098E-4</v>
      </c>
      <c r="C18" s="13">
        <v>2.7960999999999999E-5</v>
      </c>
      <c r="D18" s="13">
        <v>2.7809999999999998E-4</v>
      </c>
    </row>
    <row r="19" spans="1:4" x14ac:dyDescent="0.45">
      <c r="A19">
        <v>17</v>
      </c>
      <c r="B19" s="13">
        <v>2.388E-4</v>
      </c>
      <c r="C19" s="13">
        <v>2.7960999999999999E-5</v>
      </c>
      <c r="D19" s="13">
        <v>2.8479999999999998E-4</v>
      </c>
    </row>
    <row r="20" spans="1:4" x14ac:dyDescent="0.45">
      <c r="A20">
        <v>18</v>
      </c>
      <c r="B20" s="13">
        <v>2.6939999999999999E-4</v>
      </c>
      <c r="C20" s="13">
        <v>2.7960999999999999E-5</v>
      </c>
      <c r="D20" s="13">
        <v>2.9100000000000003E-4</v>
      </c>
    </row>
    <row r="21" spans="1:4" x14ac:dyDescent="0.45">
      <c r="A21">
        <v>19</v>
      </c>
      <c r="B21" s="13">
        <v>2.921E-4</v>
      </c>
      <c r="C21" s="13">
        <v>2.8782999999999999E-5</v>
      </c>
      <c r="D21" s="13">
        <v>2.9730000000000002E-4</v>
      </c>
    </row>
    <row r="22" spans="1:4" x14ac:dyDescent="0.45">
      <c r="A22">
        <v>20</v>
      </c>
      <c r="B22" s="13">
        <v>3.1619999999999999E-4</v>
      </c>
      <c r="C22" s="13">
        <v>4.1211999999999998E-5</v>
      </c>
      <c r="D22" s="13">
        <v>3.0590000000000001E-4</v>
      </c>
    </row>
    <row r="23" spans="1:4" x14ac:dyDescent="0.45">
      <c r="A23">
        <v>21</v>
      </c>
      <c r="B23" s="13">
        <v>3.411E-4</v>
      </c>
      <c r="C23" s="13">
        <v>4.3120000000000001E-5</v>
      </c>
      <c r="D23" s="13">
        <v>3.2449999999999997E-4</v>
      </c>
    </row>
    <row r="24" spans="1:4" x14ac:dyDescent="0.45">
      <c r="A24">
        <v>22</v>
      </c>
      <c r="B24" s="13">
        <v>3.6610000000000001E-4</v>
      </c>
      <c r="C24" s="13">
        <v>4.507E-5</v>
      </c>
      <c r="D24" s="13">
        <v>3.6010000000000003E-4</v>
      </c>
    </row>
    <row r="25" spans="1:4" x14ac:dyDescent="0.45">
      <c r="A25">
        <v>23</v>
      </c>
      <c r="B25" s="13">
        <v>3.903E-4</v>
      </c>
      <c r="C25" s="13">
        <v>4.6090000000000001E-5</v>
      </c>
      <c r="D25" s="13">
        <v>4.103E-4</v>
      </c>
    </row>
    <row r="26" spans="1:4" x14ac:dyDescent="0.45">
      <c r="A26">
        <v>24</v>
      </c>
      <c r="B26" s="13">
        <v>4.2349999999999999E-4</v>
      </c>
      <c r="C26" s="13">
        <v>4.7179999999999999E-5</v>
      </c>
      <c r="D26" s="13">
        <v>4.7429999999999998E-4</v>
      </c>
    </row>
    <row r="27" spans="1:4" x14ac:dyDescent="0.45">
      <c r="A27">
        <v>25</v>
      </c>
      <c r="B27" s="13">
        <v>4.4430000000000001E-4</v>
      </c>
      <c r="C27" s="13">
        <v>4.8340000000000001E-5</v>
      </c>
      <c r="D27" s="13">
        <v>5.4909999999999996E-4</v>
      </c>
    </row>
    <row r="28" spans="1:4" x14ac:dyDescent="0.45">
      <c r="A28">
        <v>26</v>
      </c>
      <c r="B28" s="13">
        <v>4.6279999999999997E-4</v>
      </c>
      <c r="C28" s="13">
        <v>4.9549999999999998E-5</v>
      </c>
      <c r="D28" s="13">
        <v>6.3820000000000001E-4</v>
      </c>
    </row>
    <row r="29" spans="1:4" x14ac:dyDescent="0.45">
      <c r="A29">
        <v>27</v>
      </c>
      <c r="B29" s="13">
        <v>4.793E-4</v>
      </c>
      <c r="C29" s="13">
        <v>4.9549999999999998E-5</v>
      </c>
      <c r="D29" s="13">
        <v>7.473E-4</v>
      </c>
    </row>
    <row r="30" spans="1:4" x14ac:dyDescent="0.45">
      <c r="A30">
        <v>28</v>
      </c>
      <c r="B30" s="13">
        <v>4.793E-4</v>
      </c>
      <c r="C30" s="13">
        <v>4.9549999999999998E-5</v>
      </c>
      <c r="D30" s="13">
        <v>8.8340000000000001E-4</v>
      </c>
    </row>
    <row r="31" spans="1:4" x14ac:dyDescent="0.45">
      <c r="A31">
        <v>29</v>
      </c>
      <c r="B31" s="13">
        <v>4.793E-4</v>
      </c>
      <c r="C31" s="13">
        <v>4.9549999999999998E-5</v>
      </c>
      <c r="D31" s="13">
        <v>1.0430000000000001E-3</v>
      </c>
    </row>
    <row r="32" spans="1:4" x14ac:dyDescent="0.45">
      <c r="A32">
        <v>30</v>
      </c>
      <c r="B32" s="13">
        <v>4.551E-4</v>
      </c>
      <c r="C32" s="13">
        <v>6.4380000000000004E-5</v>
      </c>
      <c r="D32" s="13">
        <v>1.217E-3</v>
      </c>
    </row>
    <row r="33" spans="1:4" x14ac:dyDescent="0.45">
      <c r="A33">
        <v>31</v>
      </c>
      <c r="B33" s="13">
        <v>4.551E-4</v>
      </c>
      <c r="C33" s="13">
        <v>6.4380000000000004E-5</v>
      </c>
      <c r="D33" s="13">
        <v>1.3879999999999999E-3</v>
      </c>
    </row>
    <row r="34" spans="1:4" x14ac:dyDescent="0.45">
      <c r="A34">
        <v>32</v>
      </c>
      <c r="B34" s="13">
        <v>4.6250000000000002E-4</v>
      </c>
      <c r="C34" s="13">
        <v>6.4380000000000004E-5</v>
      </c>
      <c r="D34" s="13">
        <v>1.549E-3</v>
      </c>
    </row>
    <row r="35" spans="1:4" x14ac:dyDescent="0.45">
      <c r="A35">
        <v>33</v>
      </c>
      <c r="B35" s="13">
        <v>4.8450000000000001E-4</v>
      </c>
      <c r="C35" s="13">
        <v>6.4659999999999994E-5</v>
      </c>
      <c r="D35" s="13">
        <v>1.6949999999999999E-3</v>
      </c>
    </row>
    <row r="36" spans="1:4" x14ac:dyDescent="0.45">
      <c r="A36">
        <v>34</v>
      </c>
      <c r="B36" s="13">
        <v>5.2890000000000001E-4</v>
      </c>
      <c r="C36" s="13">
        <v>6.826E-5</v>
      </c>
      <c r="D36" s="13">
        <v>1.8320000000000001E-3</v>
      </c>
    </row>
    <row r="37" spans="1:4" x14ac:dyDescent="0.45">
      <c r="A37">
        <v>35</v>
      </c>
      <c r="B37" s="13">
        <v>5.7569999999999995E-4</v>
      </c>
      <c r="C37" s="13">
        <v>7.7659999999999998E-5</v>
      </c>
      <c r="D37" s="13">
        <v>1.967E-3</v>
      </c>
    </row>
    <row r="38" spans="1:4" x14ac:dyDescent="0.45">
      <c r="A38">
        <v>36</v>
      </c>
      <c r="B38" s="13">
        <v>6.3429999999999997E-4</v>
      </c>
      <c r="C38" s="13">
        <v>8.9829999999999999E-5</v>
      </c>
      <c r="D38" s="13">
        <v>2.104E-3</v>
      </c>
    </row>
    <row r="39" spans="1:4" x14ac:dyDescent="0.45">
      <c r="A39">
        <v>37</v>
      </c>
      <c r="B39" s="13">
        <v>6.9340000000000005E-4</v>
      </c>
      <c r="C39" s="13">
        <v>1.0296E-4</v>
      </c>
      <c r="D39" s="13">
        <v>2.2460000000000002E-3</v>
      </c>
    </row>
    <row r="40" spans="1:4" x14ac:dyDescent="0.45">
      <c r="A40">
        <v>38</v>
      </c>
      <c r="B40" s="13">
        <v>7.6190000000000003E-4</v>
      </c>
      <c r="C40" s="13">
        <v>1.2016E-4</v>
      </c>
      <c r="D40" s="13">
        <v>2.3890000000000001E-3</v>
      </c>
    </row>
    <row r="41" spans="1:4" x14ac:dyDescent="0.45">
      <c r="A41">
        <v>39</v>
      </c>
      <c r="B41" s="13">
        <v>8.2779999999999996E-4</v>
      </c>
      <c r="C41" s="13">
        <v>1.3590999999999999E-4</v>
      </c>
      <c r="D41" s="13">
        <v>2.529E-3</v>
      </c>
    </row>
    <row r="42" spans="1:4" x14ac:dyDescent="0.45">
      <c r="A42">
        <v>40</v>
      </c>
      <c r="B42" s="13">
        <v>8.9990000000000003E-4</v>
      </c>
      <c r="C42" s="13">
        <v>1.44E-4</v>
      </c>
      <c r="D42" s="13">
        <v>2.6570000000000001E-3</v>
      </c>
    </row>
    <row r="43" spans="1:4" x14ac:dyDescent="0.45">
      <c r="A43">
        <v>41</v>
      </c>
      <c r="B43" s="13">
        <v>9.7729999999999996E-4</v>
      </c>
      <c r="C43" s="13">
        <v>1.5683E-4</v>
      </c>
      <c r="D43" s="13">
        <v>2.7629999999999998E-3</v>
      </c>
    </row>
    <row r="44" spans="1:4" x14ac:dyDescent="0.45">
      <c r="A44">
        <v>42</v>
      </c>
      <c r="B44" s="13">
        <v>1.08E-3</v>
      </c>
      <c r="C44" s="13">
        <v>1.7003E-4</v>
      </c>
      <c r="D44" s="13">
        <v>2.846E-3</v>
      </c>
    </row>
    <row r="45" spans="1:4" x14ac:dyDescent="0.45">
      <c r="A45">
        <v>43</v>
      </c>
      <c r="B45" s="13">
        <v>1.1969999999999999E-3</v>
      </c>
      <c r="C45" s="13">
        <v>1.8623000000000001E-4</v>
      </c>
      <c r="D45" s="13">
        <v>2.9020000000000001E-3</v>
      </c>
    </row>
    <row r="46" spans="1:4" x14ac:dyDescent="0.45">
      <c r="A46">
        <v>44</v>
      </c>
      <c r="B46" s="13">
        <v>1.3389999999999999E-3</v>
      </c>
      <c r="C46" s="13">
        <v>2.0542999999999999E-4</v>
      </c>
      <c r="D46" s="13">
        <v>2.944E-3</v>
      </c>
    </row>
    <row r="47" spans="1:4" x14ac:dyDescent="0.45">
      <c r="A47">
        <v>45</v>
      </c>
      <c r="B47" s="13">
        <v>1.498E-3</v>
      </c>
      <c r="C47" s="13">
        <v>2.3112999999999999E-4</v>
      </c>
      <c r="D47" s="13">
        <v>2.9910000000000002E-3</v>
      </c>
    </row>
    <row r="48" spans="1:4" x14ac:dyDescent="0.45">
      <c r="A48">
        <v>46</v>
      </c>
      <c r="B48" s="13">
        <v>1.658E-3</v>
      </c>
      <c r="C48" s="13">
        <v>2.6092999999999998E-4</v>
      </c>
      <c r="D48" s="13">
        <v>3.0720000000000001E-3</v>
      </c>
    </row>
    <row r="49" spans="1:4" x14ac:dyDescent="0.45">
      <c r="A49">
        <v>47</v>
      </c>
      <c r="B49" s="13">
        <v>1.823E-3</v>
      </c>
      <c r="C49" s="13">
        <v>2.9462999999999999E-4</v>
      </c>
      <c r="D49" s="13">
        <v>3.2060000000000001E-3</v>
      </c>
    </row>
    <row r="50" spans="1:4" x14ac:dyDescent="0.45">
      <c r="A50">
        <v>48</v>
      </c>
      <c r="B50" s="13">
        <v>1.9970000000000001E-3</v>
      </c>
      <c r="C50" s="13">
        <v>3.2673000000000001E-4</v>
      </c>
      <c r="D50" s="13">
        <v>3.3969999999999998E-3</v>
      </c>
    </row>
    <row r="51" spans="1:4" x14ac:dyDescent="0.45">
      <c r="A51">
        <v>49</v>
      </c>
      <c r="B51" s="13">
        <v>2.1919999999999999E-3</v>
      </c>
      <c r="C51" s="13">
        <v>3.6063000000000002E-4</v>
      </c>
      <c r="D51" s="13">
        <v>3.6380000000000002E-3</v>
      </c>
    </row>
    <row r="52" spans="1:4" x14ac:dyDescent="0.45">
      <c r="A52">
        <v>50</v>
      </c>
      <c r="B52" s="13">
        <v>2.398E-3</v>
      </c>
      <c r="C52" s="13">
        <v>2.5240000000000001E-4</v>
      </c>
      <c r="D52" s="13">
        <v>3.9220000000000001E-3</v>
      </c>
    </row>
    <row r="53" spans="1:4" x14ac:dyDescent="0.45">
      <c r="A53">
        <v>51</v>
      </c>
      <c r="B53" s="13">
        <v>2.6329999999999999E-3</v>
      </c>
      <c r="C53" s="13">
        <v>2.7060000000000002E-4</v>
      </c>
      <c r="D53" s="13">
        <v>4.2469999999999999E-3</v>
      </c>
    </row>
    <row r="54" spans="1:4" x14ac:dyDescent="0.45">
      <c r="A54">
        <v>52</v>
      </c>
      <c r="B54" s="13">
        <v>2.9120000000000001E-3</v>
      </c>
      <c r="C54" s="13">
        <v>2.8959999999999999E-4</v>
      </c>
      <c r="D54" s="13">
        <v>4.6150000000000002E-3</v>
      </c>
    </row>
    <row r="55" spans="1:4" x14ac:dyDescent="0.45">
      <c r="A55">
        <v>53</v>
      </c>
      <c r="B55" s="13">
        <v>3.2100000000000002E-3</v>
      </c>
      <c r="C55" s="13">
        <v>3.0969999999999999E-4</v>
      </c>
      <c r="D55" s="13">
        <v>5.0140000000000002E-3</v>
      </c>
    </row>
    <row r="56" spans="1:4" x14ac:dyDescent="0.45">
      <c r="A56">
        <v>54</v>
      </c>
      <c r="B56" s="13">
        <v>3.5409999999999999E-3</v>
      </c>
      <c r="C56" s="13">
        <v>3.2949999999999999E-4</v>
      </c>
      <c r="D56" s="13">
        <v>5.4349999999999997E-3</v>
      </c>
    </row>
    <row r="57" spans="1:4" x14ac:dyDescent="0.45">
      <c r="A57">
        <v>55</v>
      </c>
      <c r="B57" s="13">
        <v>3.8760000000000001E-3</v>
      </c>
      <c r="C57" s="13">
        <v>3.4909999999999997E-4</v>
      </c>
      <c r="D57" s="13">
        <v>5.8659999999999997E-3</v>
      </c>
    </row>
    <row r="58" spans="1:4" x14ac:dyDescent="0.45">
      <c r="A58">
        <v>56</v>
      </c>
      <c r="B58" s="13">
        <v>4.241E-3</v>
      </c>
      <c r="C58" s="13">
        <v>3.6910000000000003E-4</v>
      </c>
      <c r="D58" s="13">
        <v>6.3169999999999997E-3</v>
      </c>
    </row>
    <row r="59" spans="1:4" x14ac:dyDescent="0.45">
      <c r="A59">
        <v>57</v>
      </c>
      <c r="B59" s="13">
        <v>4.6430000000000004E-3</v>
      </c>
      <c r="C59" s="13">
        <v>3.879E-4</v>
      </c>
      <c r="D59" s="13">
        <v>6.8050000000000003E-3</v>
      </c>
    </row>
    <row r="60" spans="1:4" x14ac:dyDescent="0.45">
      <c r="A60">
        <v>58</v>
      </c>
      <c r="B60" s="13">
        <v>5.0899999999999999E-3</v>
      </c>
      <c r="C60" s="13">
        <v>4.059E-4</v>
      </c>
      <c r="D60" s="13">
        <v>7.3410000000000003E-3</v>
      </c>
    </row>
    <row r="61" spans="1:4" x14ac:dyDescent="0.45">
      <c r="A61">
        <v>59</v>
      </c>
      <c r="B61" s="13">
        <v>5.5779999999999996E-3</v>
      </c>
      <c r="C61" s="13">
        <v>4.2529999999999998E-4</v>
      </c>
      <c r="D61" s="13">
        <v>7.9319999999999998E-3</v>
      </c>
    </row>
    <row r="62" spans="1:4" x14ac:dyDescent="0.45">
      <c r="A62">
        <v>60</v>
      </c>
      <c r="B62" s="13">
        <v>6.1060000000000003E-3</v>
      </c>
      <c r="C62" s="13">
        <v>5.3560000000000001E-4</v>
      </c>
      <c r="D62" s="13">
        <v>8.5800000000000008E-3</v>
      </c>
    </row>
    <row r="63" spans="1:4" x14ac:dyDescent="0.45">
      <c r="A63">
        <v>61</v>
      </c>
      <c r="B63" s="13">
        <v>6.6889999999999996E-3</v>
      </c>
      <c r="C63" s="13">
        <v>5.5080000000000005E-4</v>
      </c>
      <c r="D63" s="13">
        <v>9.3010000000000002E-3</v>
      </c>
    </row>
    <row r="64" spans="1:4" x14ac:dyDescent="0.45">
      <c r="A64">
        <v>62</v>
      </c>
      <c r="B64" s="13">
        <v>7.3429999999999997E-3</v>
      </c>
      <c r="C64" s="13">
        <v>5.6269999999999996E-4</v>
      </c>
      <c r="D64" s="13">
        <v>1.0120000000000001E-2</v>
      </c>
    </row>
    <row r="65" spans="1:4" x14ac:dyDescent="0.45">
      <c r="A65">
        <v>63</v>
      </c>
      <c r="B65" s="13">
        <v>8.0759999999999998E-3</v>
      </c>
      <c r="C65" s="13">
        <v>5.777E-4</v>
      </c>
      <c r="D65" s="13">
        <v>1.1050000000000001E-2</v>
      </c>
    </row>
    <row r="66" spans="1:4" x14ac:dyDescent="0.45">
      <c r="A66">
        <v>64</v>
      </c>
      <c r="B66" s="13">
        <v>8.8990000000000007E-3</v>
      </c>
      <c r="C66" s="13">
        <v>6.0130000000000003E-4</v>
      </c>
      <c r="D66" s="13">
        <v>1.21E-2</v>
      </c>
    </row>
    <row r="67" spans="1:4" x14ac:dyDescent="0.45">
      <c r="A67">
        <v>65</v>
      </c>
      <c r="B67" s="13">
        <v>9.8449999999999996E-3</v>
      </c>
      <c r="C67" s="13">
        <v>6.3489999999999998E-4</v>
      </c>
      <c r="D67" s="13">
        <v>1.3259999999999999E-2</v>
      </c>
    </row>
    <row r="68" spans="1:4" x14ac:dyDescent="0.45">
      <c r="A68">
        <v>66</v>
      </c>
      <c r="B68" s="13">
        <v>1.098E-2</v>
      </c>
      <c r="C68" s="13">
        <v>6.8139999999999997E-4</v>
      </c>
      <c r="D68" s="13">
        <v>1.452E-2</v>
      </c>
    </row>
    <row r="69" spans="1:4" x14ac:dyDescent="0.45">
      <c r="A69">
        <v>67</v>
      </c>
      <c r="B69" s="13">
        <v>1.238E-2</v>
      </c>
      <c r="C69" s="13">
        <v>7.3590000000000005E-4</v>
      </c>
      <c r="D69" s="13">
        <v>1.5879999999999998E-2</v>
      </c>
    </row>
    <row r="70" spans="1:4" x14ac:dyDescent="0.45">
      <c r="A70">
        <v>68</v>
      </c>
      <c r="B70" s="13">
        <v>1.4080000000000001E-2</v>
      </c>
      <c r="C70" s="13">
        <v>7.9869999999999995E-4</v>
      </c>
      <c r="D70" s="13">
        <v>1.7309999999999999E-2</v>
      </c>
    </row>
    <row r="71" spans="1:4" x14ac:dyDescent="0.45">
      <c r="A71">
        <v>69</v>
      </c>
      <c r="B71" s="13">
        <v>1.6E-2</v>
      </c>
      <c r="C71" s="13">
        <v>8.6510000000000005E-4</v>
      </c>
      <c r="D71" s="13">
        <v>1.8769999999999998E-2</v>
      </c>
    </row>
    <row r="72" spans="1:4" x14ac:dyDescent="0.45">
      <c r="A72">
        <v>70</v>
      </c>
      <c r="B72" s="13">
        <v>1.7989999999999999E-2</v>
      </c>
      <c r="C72" s="13">
        <v>1.0449999999999999E-3</v>
      </c>
      <c r="D72" s="13">
        <v>2.0209999999999999E-2</v>
      </c>
    </row>
    <row r="73" spans="1:4" x14ac:dyDescent="0.45">
      <c r="A73">
        <v>71</v>
      </c>
      <c r="B73" s="13">
        <v>1.9900000000000001E-2</v>
      </c>
      <c r="C73" s="13">
        <v>1.1176000000000001E-3</v>
      </c>
      <c r="D73" s="13">
        <v>2.1559999999999999E-2</v>
      </c>
    </row>
    <row r="74" spans="1:4" x14ac:dyDescent="0.45">
      <c r="A74">
        <v>72</v>
      </c>
      <c r="B74" s="13">
        <v>2.1590000000000002E-2</v>
      </c>
      <c r="C74" s="13">
        <v>1.1942999999999999E-3</v>
      </c>
      <c r="D74" s="13">
        <v>2.281E-2</v>
      </c>
    </row>
    <row r="75" spans="1:4" x14ac:dyDescent="0.45">
      <c r="A75">
        <v>73</v>
      </c>
      <c r="B75" s="13">
        <v>2.2970000000000001E-2</v>
      </c>
      <c r="C75" s="13">
        <v>1.2696999999999999E-3</v>
      </c>
      <c r="D75" s="13">
        <v>2.3980000000000001E-2</v>
      </c>
    </row>
    <row r="76" spans="1:4" x14ac:dyDescent="0.45">
      <c r="A76">
        <v>74</v>
      </c>
      <c r="B76" s="13">
        <v>2.4109999999999999E-2</v>
      </c>
      <c r="C76" s="13">
        <v>1.3387E-3</v>
      </c>
      <c r="D76" s="13">
        <v>2.5100000000000001E-2</v>
      </c>
    </row>
    <row r="77" spans="1:4" x14ac:dyDescent="0.45">
      <c r="A77">
        <v>75</v>
      </c>
      <c r="B77" s="13">
        <v>2.529E-2</v>
      </c>
      <c r="C77" s="13">
        <v>1.3997E-3</v>
      </c>
      <c r="D77" s="13">
        <v>2.6259999999999999E-2</v>
      </c>
    </row>
    <row r="78" spans="1:4" x14ac:dyDescent="0.45">
      <c r="A78">
        <v>76</v>
      </c>
      <c r="B78" s="13">
        <v>2.6939999999999999E-2</v>
      </c>
      <c r="C78" s="13">
        <v>1.4476999999999999E-3</v>
      </c>
      <c r="D78" s="13">
        <v>2.7560000000000001E-2</v>
      </c>
    </row>
    <row r="79" spans="1:4" x14ac:dyDescent="0.45">
      <c r="A79">
        <v>77</v>
      </c>
      <c r="B79" s="13">
        <v>2.9420000000000002E-2</v>
      </c>
      <c r="C79" s="13">
        <v>1.4877E-3</v>
      </c>
      <c r="D79" s="13">
        <v>2.9090000000000001E-2</v>
      </c>
    </row>
    <row r="80" spans="1:4" x14ac:dyDescent="0.45">
      <c r="A80">
        <v>78</v>
      </c>
      <c r="B80" s="13">
        <v>3.2829999999999998E-2</v>
      </c>
      <c r="C80" s="13">
        <v>1.5166999999999999E-3</v>
      </c>
      <c r="D80" s="13">
        <v>3.0939999999999999E-2</v>
      </c>
    </row>
    <row r="81" spans="1:4" x14ac:dyDescent="0.45">
      <c r="A81">
        <v>79</v>
      </c>
      <c r="B81" s="13">
        <v>3.7080000000000002E-2</v>
      </c>
      <c r="C81" s="13">
        <v>1.5407000000000001E-3</v>
      </c>
      <c r="D81" s="13">
        <v>3.3119999999999997E-2</v>
      </c>
    </row>
    <row r="82" spans="1:4" x14ac:dyDescent="0.45">
      <c r="A82">
        <v>80</v>
      </c>
      <c r="B82" s="13">
        <v>4.215E-2</v>
      </c>
      <c r="C82" s="13">
        <v>1.5625999999999999E-3</v>
      </c>
      <c r="D82" s="13">
        <v>3.5450000000000002E-2</v>
      </c>
    </row>
    <row r="83" spans="1:4" x14ac:dyDescent="0.45">
      <c r="A83">
        <v>81</v>
      </c>
      <c r="B83" s="13">
        <v>4.8140000000000002E-2</v>
      </c>
      <c r="C83" s="13">
        <v>1.5736000000000001E-3</v>
      </c>
      <c r="D83" s="13">
        <v>3.7659999999999999E-2</v>
      </c>
    </row>
    <row r="84" spans="1:4" x14ac:dyDescent="0.45">
      <c r="A84">
        <v>82</v>
      </c>
      <c r="B84" s="13">
        <v>5.5190000000000003E-2</v>
      </c>
      <c r="C84" s="13">
        <v>1.5935999999999999E-3</v>
      </c>
      <c r="D84" s="13">
        <v>3.9480000000000001E-2</v>
      </c>
    </row>
    <row r="85" spans="1:4" x14ac:dyDescent="0.45">
      <c r="A85">
        <v>83</v>
      </c>
      <c r="B85" s="13">
        <v>6.3259999999999997E-2</v>
      </c>
      <c r="C85" s="13">
        <v>1.6416E-3</v>
      </c>
      <c r="D85" s="13">
        <v>4.0739999999999998E-2</v>
      </c>
    </row>
    <row r="86" spans="1:4" x14ac:dyDescent="0.45">
      <c r="A86">
        <v>84</v>
      </c>
      <c r="B86" s="13">
        <v>7.2139999999999996E-2</v>
      </c>
      <c r="C86" s="13">
        <v>1.7446E-3</v>
      </c>
      <c r="D86" s="13">
        <v>4.1450000000000001E-2</v>
      </c>
    </row>
    <row r="87" spans="1:4" x14ac:dyDescent="0.45">
      <c r="A87">
        <v>85</v>
      </c>
      <c r="B87" s="13">
        <v>8.1570000000000004E-2</v>
      </c>
      <c r="C87" s="13">
        <v>1.9196E-3</v>
      </c>
      <c r="D87" s="13">
        <v>4.1700000000000001E-2</v>
      </c>
    </row>
    <row r="88" spans="1:4" x14ac:dyDescent="0.45">
      <c r="A88">
        <v>86</v>
      </c>
      <c r="B88" s="13">
        <v>9.1450000000000004E-2</v>
      </c>
      <c r="C88" s="13">
        <v>2.1716000000000001E-3</v>
      </c>
      <c r="D88" s="13">
        <v>4.1619999999999997E-2</v>
      </c>
    </row>
    <row r="89" spans="1:4" x14ac:dyDescent="0.45">
      <c r="A89">
        <v>87</v>
      </c>
      <c r="B89" s="13">
        <v>0.1019</v>
      </c>
      <c r="C89" s="13">
        <v>2.4976E-3</v>
      </c>
      <c r="D89" s="13">
        <v>4.1340000000000002E-2</v>
      </c>
    </row>
    <row r="90" spans="1:4" x14ac:dyDescent="0.45">
      <c r="A90">
        <v>88</v>
      </c>
      <c r="B90" s="13">
        <v>0.11269999999999999</v>
      </c>
      <c r="C90" s="13">
        <v>2.8806000000000001E-3</v>
      </c>
      <c r="D90" s="13">
        <v>4.0899999999999999E-2</v>
      </c>
    </row>
    <row r="91" spans="1:4" x14ac:dyDescent="0.45">
      <c r="A91">
        <v>89</v>
      </c>
      <c r="B91" s="13">
        <v>0.1239</v>
      </c>
      <c r="C91" s="13">
        <v>3.3016E-3</v>
      </c>
      <c r="D91" s="13">
        <v>4.0340000000000001E-2</v>
      </c>
    </row>
    <row r="92" spans="1:4" x14ac:dyDescent="0.45">
      <c r="A92">
        <v>90</v>
      </c>
      <c r="B92" s="13">
        <v>0.13550000000000001</v>
      </c>
      <c r="C92" s="13">
        <v>3.7456E-3</v>
      </c>
      <c r="D92" s="13">
        <v>3.9789999999999999E-2</v>
      </c>
    </row>
    <row r="93" spans="1:4" x14ac:dyDescent="0.45">
      <c r="A93">
        <v>91</v>
      </c>
      <c r="B93" s="13">
        <v>0.1482</v>
      </c>
      <c r="C93" s="13">
        <v>4.1945999999999997E-3</v>
      </c>
      <c r="D93" s="13">
        <v>3.9350000000000003E-2</v>
      </c>
    </row>
    <row r="94" spans="1:4" x14ac:dyDescent="0.45">
      <c r="A94">
        <v>92</v>
      </c>
      <c r="B94" s="13">
        <v>0.16259999999999999</v>
      </c>
      <c r="C94" s="13">
        <v>4.6275999999999999E-3</v>
      </c>
      <c r="D94" s="13">
        <v>3.909E-2</v>
      </c>
    </row>
    <row r="95" spans="1:4" x14ac:dyDescent="0.45">
      <c r="A95">
        <v>93</v>
      </c>
      <c r="B95" s="13">
        <v>0.1792</v>
      </c>
      <c r="C95" s="13">
        <v>5.0206000000000001E-3</v>
      </c>
      <c r="D95" s="13">
        <v>3.9050000000000001E-2</v>
      </c>
    </row>
    <row r="96" spans="1:4" x14ac:dyDescent="0.45">
      <c r="A96">
        <v>94</v>
      </c>
      <c r="B96" s="13">
        <v>0.1981</v>
      </c>
      <c r="C96" s="13">
        <v>5.3585999999999998E-3</v>
      </c>
      <c r="D96" s="13">
        <v>3.9219999999999998E-2</v>
      </c>
    </row>
    <row r="97" spans="1:4" x14ac:dyDescent="0.45">
      <c r="A97">
        <v>95</v>
      </c>
      <c r="B97" s="13">
        <v>0.21940000000000001</v>
      </c>
      <c r="C97" s="13">
        <v>5.6406E-3</v>
      </c>
      <c r="D97" s="13">
        <v>3.9550000000000002E-2</v>
      </c>
    </row>
    <row r="98" spans="1:4" x14ac:dyDescent="0.45">
      <c r="A98">
        <v>96</v>
      </c>
      <c r="B98" s="13">
        <v>0.24340000000000001</v>
      </c>
      <c r="C98" s="13">
        <v>5.8795999999999996E-3</v>
      </c>
      <c r="D98" s="13">
        <v>3.9980000000000002E-2</v>
      </c>
    </row>
    <row r="99" spans="1:4" x14ac:dyDescent="0.45">
      <c r="A99">
        <v>97</v>
      </c>
      <c r="B99" s="13">
        <v>0.27029999999999998</v>
      </c>
      <c r="C99" s="13">
        <v>6.0955999999999996E-3</v>
      </c>
      <c r="D99" s="13">
        <v>4.0430000000000001E-2</v>
      </c>
    </row>
    <row r="100" spans="1:4" x14ac:dyDescent="0.45">
      <c r="A100">
        <v>98</v>
      </c>
      <c r="B100" s="13">
        <v>0.29980000000000001</v>
      </c>
      <c r="C100" s="13">
        <v>6.3236000000000004E-3</v>
      </c>
      <c r="D100" s="13">
        <v>4.0430000000000001E-2</v>
      </c>
    </row>
    <row r="101" spans="1:4" x14ac:dyDescent="0.45">
      <c r="A101">
        <v>99</v>
      </c>
      <c r="B101" s="13">
        <v>0.33119999999999999</v>
      </c>
      <c r="C101" s="13">
        <v>6.5855999999999996E-3</v>
      </c>
      <c r="D101" s="13">
        <v>4.1050000000000003E-2</v>
      </c>
    </row>
    <row r="102" spans="1:4" x14ac:dyDescent="0.45">
      <c r="A102">
        <v>100</v>
      </c>
      <c r="B102" s="13">
        <v>0.36320000000000002</v>
      </c>
      <c r="C102" s="13">
        <v>6.9005999999999998E-3</v>
      </c>
      <c r="D102" s="13">
        <v>4.1050000000000003E-2</v>
      </c>
    </row>
    <row r="103" spans="1:4" x14ac:dyDescent="0.45">
      <c r="A103">
        <v>101</v>
      </c>
      <c r="B103" s="13">
        <v>0.39489999999999997</v>
      </c>
      <c r="C103" s="13">
        <v>7.2696000000000002E-3</v>
      </c>
      <c r="D103" s="13">
        <v>4.1050000000000003E-2</v>
      </c>
    </row>
    <row r="104" spans="1:4" x14ac:dyDescent="0.45">
      <c r="A104">
        <v>102</v>
      </c>
      <c r="B104" s="13">
        <v>0.42580000000000001</v>
      </c>
      <c r="C104" s="13">
        <v>7.6826000000000004E-3</v>
      </c>
      <c r="D104" s="13">
        <v>4.1050000000000003E-2</v>
      </c>
    </row>
    <row r="105" spans="1:4" x14ac:dyDescent="0.45">
      <c r="A105">
        <v>103</v>
      </c>
      <c r="B105" s="13">
        <v>0.45329999999999998</v>
      </c>
      <c r="C105" s="13">
        <v>8.1206000000000004E-3</v>
      </c>
      <c r="D105" s="13">
        <v>4.1050000000000003E-2</v>
      </c>
    </row>
    <row r="106" spans="1:4" x14ac:dyDescent="0.45">
      <c r="A106">
        <v>104</v>
      </c>
      <c r="B106" s="13">
        <v>0.47760000000000002</v>
      </c>
      <c r="C106" s="13">
        <v>8.7195999999999992E-3</v>
      </c>
      <c r="D106" s="13">
        <v>3.9640000000000002E-2</v>
      </c>
    </row>
    <row r="107" spans="1:4" x14ac:dyDescent="0.45">
      <c r="A107">
        <v>105</v>
      </c>
      <c r="B107" s="13">
        <v>0.53180000000000005</v>
      </c>
      <c r="C107" s="13">
        <v>9.3355999999999995E-3</v>
      </c>
      <c r="D107" s="13">
        <v>3.9149999999999997E-2</v>
      </c>
    </row>
    <row r="108" spans="1:4" x14ac:dyDescent="0.45">
      <c r="A108">
        <v>106</v>
      </c>
      <c r="B108" s="13">
        <v>0.59279999999999999</v>
      </c>
      <c r="C108" s="13">
        <v>9.9545999999999992E-3</v>
      </c>
      <c r="D108" s="13">
        <v>3.9149999999999997E-2</v>
      </c>
    </row>
    <row r="109" spans="1:4" x14ac:dyDescent="0.45">
      <c r="A109">
        <v>107</v>
      </c>
      <c r="B109" s="13">
        <v>0.66290000000000004</v>
      </c>
      <c r="C109" s="13">
        <v>1.0563599999999999E-2</v>
      </c>
      <c r="D109" s="13">
        <v>3.9149999999999997E-2</v>
      </c>
    </row>
    <row r="110" spans="1:4" x14ac:dyDescent="0.45">
      <c r="A110">
        <v>108</v>
      </c>
      <c r="B110" s="13">
        <v>0.74490000000000001</v>
      </c>
      <c r="C110" s="13">
        <v>1.11536E-2</v>
      </c>
      <c r="D110" s="13">
        <v>3.9149999999999997E-2</v>
      </c>
    </row>
    <row r="111" spans="1:4" x14ac:dyDescent="0.45">
      <c r="A111">
        <v>109</v>
      </c>
      <c r="B111" s="13">
        <v>0.84189999999999998</v>
      </c>
      <c r="C111" s="13">
        <v>1.17336E-2</v>
      </c>
      <c r="D111" s="13">
        <v>3.9149999999999997E-2</v>
      </c>
    </row>
    <row r="112" spans="1:4" x14ac:dyDescent="0.45">
      <c r="A112">
        <v>110</v>
      </c>
      <c r="B112" s="13">
        <v>1</v>
      </c>
      <c r="C112" s="13">
        <v>1.17336E-2</v>
      </c>
      <c r="D112" s="13">
        <v>3.9149999999999997E-2</v>
      </c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87"/>
  <sheetViews>
    <sheetView workbookViewId="0">
      <pane xSplit="2" ySplit="15" topLeftCell="C16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5" customWidth="1"/>
    <col min="2" max="2" width="6" customWidth="1"/>
    <col min="3" max="3" width="11" customWidth="1"/>
    <col min="4" max="4" width="34" customWidth="1"/>
    <col min="5" max="6" width="16" customWidth="1"/>
    <col min="7" max="11" width="12" customWidth="1"/>
    <col min="12" max="12" width="6" customWidth="1"/>
    <col min="13" max="14" width="13" customWidth="1"/>
    <col min="15" max="15" width="12" customWidth="1"/>
    <col min="16" max="17" width="11" customWidth="1"/>
    <col min="18" max="18" width="7" customWidth="1"/>
  </cols>
  <sheetData>
    <row r="1" spans="1:18" x14ac:dyDescent="0.45">
      <c r="A1" s="14" t="s">
        <v>18</v>
      </c>
      <c r="B1" t="s">
        <v>76</v>
      </c>
      <c r="D1" s="11" t="s">
        <v>34</v>
      </c>
      <c r="E1" s="11" t="s">
        <v>77</v>
      </c>
      <c r="F1" s="11" t="s">
        <v>78</v>
      </c>
      <c r="G1" s="11" t="s">
        <v>28</v>
      </c>
    </row>
    <row r="2" spans="1:18" x14ac:dyDescent="0.45">
      <c r="A2" s="14" t="s">
        <v>79</v>
      </c>
      <c r="B2" s="12">
        <v>100000000</v>
      </c>
      <c r="D2" t="s">
        <v>80</v>
      </c>
      <c r="E2" s="15">
        <f>SUMPRODUCT($L$16:$L$86,$K$16:$K$86)</f>
        <v>37039.245334460851</v>
      </c>
      <c r="F2" s="16">
        <v>37039.245334460858</v>
      </c>
      <c r="G2" s="17">
        <f>E2-F2</f>
        <v>0</v>
      </c>
    </row>
    <row r="3" spans="1:18" x14ac:dyDescent="0.45">
      <c r="A3" s="14" t="s">
        <v>81</v>
      </c>
      <c r="B3" s="12">
        <v>110</v>
      </c>
      <c r="D3" t="s">
        <v>82</v>
      </c>
      <c r="E3" s="15">
        <f>납입주기*(($N$16-INDEX($N$16:$N$87,B5+1))-(납입주기-1)/(2*납입주기)*($J$16-INDEX($J$16:$J$87,B5+1)))</f>
        <v>18049366.356479973</v>
      </c>
      <c r="F3" s="16">
        <v>18049366.356479991</v>
      </c>
      <c r="G3" s="17">
        <f>E3-F3</f>
        <v>0</v>
      </c>
    </row>
    <row r="4" spans="1:18" x14ac:dyDescent="0.45">
      <c r="A4" s="14" t="s">
        <v>83</v>
      </c>
      <c r="B4">
        <f>MIN(보험기간,IF(B3&gt;=110,B3+1,B3)-가입나이)</f>
        <v>71</v>
      </c>
      <c r="D4" t="s">
        <v>84</v>
      </c>
      <c r="E4" s="15">
        <f>E2/E3</f>
        <v>2.0521077916490541E-3</v>
      </c>
      <c r="F4" s="16">
        <v>2.0521077916490528E-3</v>
      </c>
      <c r="G4" s="17">
        <f>E4-F4</f>
        <v>0</v>
      </c>
    </row>
    <row r="5" spans="1:18" x14ac:dyDescent="0.45">
      <c r="A5" s="14" t="s">
        <v>85</v>
      </c>
      <c r="B5">
        <f>MIN(납입기간,B4)</f>
        <v>20</v>
      </c>
      <c r="D5" t="s">
        <v>86</v>
      </c>
      <c r="E5" s="15">
        <f>E2/($N$16-INDEX($N$16:$N$87,MIN(B4,20)+1))</f>
        <v>2.4275338098960746E-2</v>
      </c>
      <c r="F5" s="16">
        <v>2.4275338098960739E-2</v>
      </c>
      <c r="G5" s="17">
        <f>E5-F5</f>
        <v>0</v>
      </c>
    </row>
    <row r="6" spans="1:18" x14ac:dyDescent="0.45">
      <c r="A6" s="14" t="s">
        <v>87</v>
      </c>
      <c r="B6" s="12">
        <v>0</v>
      </c>
      <c r="D6" t="s">
        <v>88</v>
      </c>
      <c r="E6" s="15">
        <f>알파P*MIN(B4,20)/20</f>
        <v>1</v>
      </c>
      <c r="F6" s="15"/>
      <c r="G6" s="17"/>
    </row>
    <row r="7" spans="1:18" x14ac:dyDescent="0.45">
      <c r="A7" s="14" t="s">
        <v>89</v>
      </c>
      <c r="B7">
        <f>MAX(0,1-B6/12)</f>
        <v>1</v>
      </c>
      <c r="D7" t="s">
        <v>90</v>
      </c>
      <c r="E7" s="15">
        <f>(알파S+E6*E5)*$J$16/E3</f>
        <v>1.8989773614216338E-4</v>
      </c>
      <c r="F7" s="15"/>
      <c r="G7" s="17"/>
    </row>
    <row r="8" spans="1:18" x14ac:dyDescent="0.45">
      <c r="A8" s="14" t="s">
        <v>91</v>
      </c>
      <c r="B8" t="s">
        <v>92</v>
      </c>
      <c r="D8" t="s">
        <v>93</v>
      </c>
      <c r="E8" s="15">
        <f>베타S/납입주기</f>
        <v>1.25E-4</v>
      </c>
      <c r="F8" s="15"/>
      <c r="G8" s="17"/>
    </row>
    <row r="9" spans="1:18" x14ac:dyDescent="0.45">
      <c r="A9" s="14" t="s">
        <v>94</v>
      </c>
      <c r="B9" t="s">
        <v>95</v>
      </c>
      <c r="D9" t="s">
        <v>96</v>
      </c>
      <c r="E9" s="15">
        <f>베타후*(INDEX($M$16:$M$87,B5+1)-$M$87)/E3</f>
        <v>5.7030623467394331E-5</v>
      </c>
      <c r="F9" s="15"/>
      <c r="G9" s="17"/>
    </row>
    <row r="10" spans="1:18" x14ac:dyDescent="0.45">
      <c r="A10" s="14" t="s">
        <v>97</v>
      </c>
      <c r="B10" t="s">
        <v>98</v>
      </c>
      <c r="D10" t="s">
        <v>99</v>
      </c>
      <c r="E10" s="15">
        <f>(E4+E7+E8+E9)/(1-베타G-감마)</f>
        <v>2.6064904852243142E-3</v>
      </c>
      <c r="F10" s="16">
        <v>2.6064904852243129E-3</v>
      </c>
      <c r="G10" s="17">
        <f>E10-F10</f>
        <v>0</v>
      </c>
    </row>
    <row r="11" spans="1:18" x14ac:dyDescent="0.45">
      <c r="D11" t="s">
        <v>100</v>
      </c>
      <c r="E11" s="6">
        <f>ROUND(ROUND(E10,6)*100000,0)</f>
        <v>261</v>
      </c>
      <c r="F11" s="7">
        <v>261</v>
      </c>
      <c r="G11" s="17">
        <f>E11-F11</f>
        <v>0</v>
      </c>
    </row>
    <row r="12" spans="1:18" x14ac:dyDescent="0.45">
      <c r="D12" t="s">
        <v>101</v>
      </c>
      <c r="E12" s="6">
        <f>E11*B2/100000</f>
        <v>261000</v>
      </c>
      <c r="F12" s="7">
        <v>261000</v>
      </c>
      <c r="G12" s="17">
        <f>E12-F12</f>
        <v>0</v>
      </c>
    </row>
    <row r="13" spans="1:18" x14ac:dyDescent="0.45">
      <c r="D13" t="s">
        <v>102</v>
      </c>
      <c r="E13" s="15">
        <f>(E2+베타후*(INDEX($M$16:$M$87,B5+1)-$M$87))/($N$16-INDEX($N$16:$N$87,B5+1))</f>
        <v>2.4949979885468949E-2</v>
      </c>
      <c r="F13" s="16">
        <v>2.4949979885468938E-2</v>
      </c>
      <c r="G13" s="17">
        <f>E13-F13</f>
        <v>0</v>
      </c>
    </row>
    <row r="15" spans="1:18" ht="34" x14ac:dyDescent="0.45">
      <c r="A15" s="2" t="s">
        <v>103</v>
      </c>
      <c r="B15" s="2" t="s">
        <v>104</v>
      </c>
      <c r="C15" s="2" t="s">
        <v>105</v>
      </c>
      <c r="D15" s="2" t="s">
        <v>106</v>
      </c>
      <c r="E15" s="2" t="s">
        <v>107</v>
      </c>
      <c r="F15" s="2" t="s">
        <v>108</v>
      </c>
      <c r="G15" s="2" t="s">
        <v>109</v>
      </c>
      <c r="H15" s="2" t="s">
        <v>110</v>
      </c>
      <c r="I15" s="2" t="s">
        <v>111</v>
      </c>
      <c r="J15" s="2" t="s">
        <v>112</v>
      </c>
      <c r="K15" s="2" t="s">
        <v>113</v>
      </c>
      <c r="L15" s="2" t="s">
        <v>114</v>
      </c>
      <c r="M15" s="2" t="s">
        <v>115</v>
      </c>
      <c r="N15" s="2" t="s">
        <v>116</v>
      </c>
      <c r="O15" s="2" t="s">
        <v>117</v>
      </c>
      <c r="P15" s="2" t="s">
        <v>118</v>
      </c>
      <c r="Q15" s="18" t="s">
        <v>119</v>
      </c>
      <c r="R15" s="2" t="s">
        <v>28</v>
      </c>
    </row>
    <row r="16" spans="1:18" x14ac:dyDescent="0.45">
      <c r="A16">
        <v>0</v>
      </c>
      <c r="B16">
        <f t="shared" ref="B16:B47" si="0">가입나이+A16</f>
        <v>40</v>
      </c>
      <c r="C16" s="19">
        <f>INDEX(위험률!$B:$B,B16+2)</f>
        <v>8.9990000000000003E-4</v>
      </c>
      <c r="D16" s="19">
        <f>INDEX(위험률!$C:$C,B16+2)</f>
        <v>1.44E-4</v>
      </c>
      <c r="E16" s="19">
        <f>INDEX(위험률!$D:$D,B16+2)</f>
        <v>2.6570000000000001E-3</v>
      </c>
      <c r="F16" s="19">
        <f t="shared" ref="F16:F47" si="1">MIN(1,C16+D16-C16*D16/2)</f>
        <v>1.0438352071999999E-3</v>
      </c>
      <c r="G16" s="20">
        <v>100000</v>
      </c>
      <c r="H16" s="20">
        <v>100000</v>
      </c>
      <c r="I16" s="20">
        <f t="shared" ref="I16:I47" si="2">G16*현가율^A16</f>
        <v>100000</v>
      </c>
      <c r="J16" s="20">
        <f t="shared" ref="J16:J47" si="3">H16*현가율^A16</f>
        <v>100000</v>
      </c>
      <c r="K16" s="20">
        <f t="shared" ref="K16:K47" si="4">G16*F16*현가율^(A16+0.5)</f>
        <v>103.10269281762969</v>
      </c>
      <c r="L16" s="21">
        <f t="shared" ref="L16:L47" si="5">IF(A16=0,$B$7,1)</f>
        <v>1</v>
      </c>
      <c r="M16" s="20">
        <f>SUM(I16:$I$87)</f>
        <v>2600024.8869691091</v>
      </c>
      <c r="N16" s="20">
        <f>SUM(J16:$J$87)</f>
        <v>2301581.0092392387</v>
      </c>
      <c r="O16" s="22">
        <f>IF(I16&lt;=0,0,(IF(A16&lt;$B$4,SUMPRODUCT(L16:$L$86,K16:$K$86),0)+베타후*(INDEX($M$16:$M$87,MAX(A16,$B$5)+1)-$M$87)-IF(A16&lt;=$B$5,$E$13*(N16-INDEX($N$16:$N$87,$B$5+1)),0))/I16)</f>
        <v>0</v>
      </c>
      <c r="P16" s="6">
        <f t="shared" ref="P16:P47" si="6">ROUND(O16*100000,0)</f>
        <v>0</v>
      </c>
      <c r="Q16" s="7">
        <v>0</v>
      </c>
      <c r="R16" s="6">
        <f t="shared" ref="R16:R47" si="7">P16-Q16</f>
        <v>0</v>
      </c>
    </row>
    <row r="17" spans="1:18" x14ac:dyDescent="0.45">
      <c r="A17">
        <v>1</v>
      </c>
      <c r="B17">
        <f t="shared" si="0"/>
        <v>41</v>
      </c>
      <c r="C17" s="19">
        <f>INDEX(위험률!$B:$B,B17+2)</f>
        <v>9.7729999999999996E-4</v>
      </c>
      <c r="D17" s="19">
        <f>INDEX(위험률!$C:$C,B17+2)</f>
        <v>1.5683E-4</v>
      </c>
      <c r="E17" s="19">
        <f>INDEX(위험률!$D:$D,B17+2)</f>
        <v>2.7629999999999998E-3</v>
      </c>
      <c r="F17" s="19">
        <f t="shared" si="1"/>
        <v>1.1340533650204998E-3</v>
      </c>
      <c r="G17" s="20">
        <f t="shared" ref="G17:G48" si="8">G16*MAX(0,1-F16)</f>
        <v>99895.616479279997</v>
      </c>
      <c r="H17" s="20">
        <f t="shared" ref="H17:H48" si="9">H16*MAX(0,1-MIN(1,C16+(1-(1-D16)*(1-E16))-C16*(1-(1-D16)*(1-E16))/2))</f>
        <v>99630.074274579543</v>
      </c>
      <c r="I17" s="20">
        <f t="shared" si="2"/>
        <v>97459.138028565867</v>
      </c>
      <c r="J17" s="20">
        <f t="shared" si="3"/>
        <v>97200.072463004442</v>
      </c>
      <c r="K17" s="20">
        <f t="shared" si="4"/>
        <v>109.16769104912031</v>
      </c>
      <c r="L17" s="21">
        <f t="shared" si="5"/>
        <v>1</v>
      </c>
      <c r="M17" s="20">
        <f>SUM(I17:$I$87)</f>
        <v>2500024.8869691086</v>
      </c>
      <c r="N17" s="20">
        <f>SUM(J17:$J$87)</f>
        <v>2201581.0092392387</v>
      </c>
      <c r="O17" s="22">
        <f>IF(I17&lt;=0,0,(IF(A17&lt;$B$4,SUMPRODUCT(L17:$L$86,K17:$K$86),0)+베타후*(INDEX($M$16:$M$87,MAX(A17,$B$5)+1)-$M$87)-IF(A17&lt;=$B$5,$E$13*(N17-INDEX($N$16:$N$87,$B$5+1)),0))/I17)</f>
        <v>2.4542545153930923E-2</v>
      </c>
      <c r="P17" s="6">
        <f t="shared" si="6"/>
        <v>2454</v>
      </c>
      <c r="Q17" s="7">
        <v>2454</v>
      </c>
      <c r="R17" s="6">
        <f t="shared" si="7"/>
        <v>0</v>
      </c>
    </row>
    <row r="18" spans="1:18" x14ac:dyDescent="0.45">
      <c r="A18">
        <v>2</v>
      </c>
      <c r="B18">
        <f t="shared" si="0"/>
        <v>42</v>
      </c>
      <c r="C18" s="19">
        <f>INDEX(위험률!$B:$B,B18+2)</f>
        <v>1.08E-3</v>
      </c>
      <c r="D18" s="19">
        <f>INDEX(위험률!$C:$C,B18+2)</f>
        <v>1.7003E-4</v>
      </c>
      <c r="E18" s="19">
        <f>INDEX(위험률!$D:$D,B18+2)</f>
        <v>2.846E-3</v>
      </c>
      <c r="F18" s="19">
        <f t="shared" si="1"/>
        <v>1.2499381838000001E-3</v>
      </c>
      <c r="G18" s="20">
        <f t="shared" si="8"/>
        <v>99782.329519260878</v>
      </c>
      <c r="H18" s="20">
        <f t="shared" si="9"/>
        <v>99241.988223650449</v>
      </c>
      <c r="I18" s="20">
        <f t="shared" si="2"/>
        <v>94974.257722080569</v>
      </c>
      <c r="J18" s="20">
        <f t="shared" si="3"/>
        <v>94459.953098061116</v>
      </c>
      <c r="K18" s="20">
        <f t="shared" si="4"/>
        <v>117.25530768109228</v>
      </c>
      <c r="L18" s="21">
        <f t="shared" si="5"/>
        <v>1</v>
      </c>
      <c r="M18" s="20">
        <f>SUM(I18:$I$87)</f>
        <v>2402565.7489405423</v>
      </c>
      <c r="N18" s="20">
        <f>SUM(J18:$J$87)</f>
        <v>2104380.9367762338</v>
      </c>
      <c r="O18" s="22">
        <f>IF(I18&lt;=0,0,(IF(A18&lt;$B$4,SUMPRODUCT(L18:$L$86,K18:$K$86),0)+베타후*(INDEX($M$16:$M$87,MAX(A18,$B$5)+1)-$M$87)-IF(A18&lt;=$B$5,$E$13*(N18-INDEX($N$16:$N$87,$B$5+1)),0))/I18)</f>
        <v>4.956993158372125E-2</v>
      </c>
      <c r="P18" s="6">
        <f t="shared" si="6"/>
        <v>4957</v>
      </c>
      <c r="Q18" s="7">
        <v>4957</v>
      </c>
      <c r="R18" s="6">
        <f t="shared" si="7"/>
        <v>0</v>
      </c>
    </row>
    <row r="19" spans="1:18" x14ac:dyDescent="0.45">
      <c r="A19">
        <v>3</v>
      </c>
      <c r="B19">
        <f t="shared" si="0"/>
        <v>43</v>
      </c>
      <c r="C19" s="19">
        <f>INDEX(위험률!$B:$B,B19+2)</f>
        <v>1.1969999999999999E-3</v>
      </c>
      <c r="D19" s="19">
        <f>INDEX(위험률!$C:$C,B19+2)</f>
        <v>1.8623000000000001E-4</v>
      </c>
      <c r="E19" s="19">
        <f>INDEX(위험률!$D:$D,B19+2)</f>
        <v>2.9020000000000001E-3</v>
      </c>
      <c r="F19" s="19">
        <f t="shared" si="1"/>
        <v>1.3831185413450001E-3</v>
      </c>
      <c r="G19" s="20">
        <f t="shared" si="8"/>
        <v>99657.607775526238</v>
      </c>
      <c r="H19" s="20">
        <f t="shared" si="9"/>
        <v>98835.699691505346</v>
      </c>
      <c r="I19" s="20">
        <f t="shared" si="2"/>
        <v>92541.995874025059</v>
      </c>
      <c r="J19" s="20">
        <f t="shared" si="3"/>
        <v>91778.772511373085</v>
      </c>
      <c r="K19" s="20">
        <f t="shared" si="4"/>
        <v>126.42598104622466</v>
      </c>
      <c r="L19" s="21">
        <f t="shared" si="5"/>
        <v>1</v>
      </c>
      <c r="M19" s="20">
        <f>SUM(I19:$I$87)</f>
        <v>2307591.4912184626</v>
      </c>
      <c r="N19" s="20">
        <f>SUM(J19:$J$87)</f>
        <v>2009920.9836781737</v>
      </c>
      <c r="O19" s="22">
        <f>IF(I19&lt;=0,0,(IF(A19&lt;$B$4,SUMPRODUCT(L19:$L$86,K19:$K$86),0)+베타후*(INDEX($M$16:$M$87,MAX(A19,$B$5)+1)-$M$87)-IF(A19&lt;=$B$5,$E$13*(N19-INDEX($N$16:$N$87,$B$5+1)),0))/I19)</f>
        <v>7.5072792778895503E-2</v>
      </c>
      <c r="P19" s="6">
        <f t="shared" si="6"/>
        <v>7507</v>
      </c>
      <c r="Q19" s="7">
        <v>7507</v>
      </c>
      <c r="R19" s="6">
        <f t="shared" si="7"/>
        <v>0</v>
      </c>
    </row>
    <row r="20" spans="1:18" x14ac:dyDescent="0.45">
      <c r="A20">
        <v>4</v>
      </c>
      <c r="B20">
        <f t="shared" si="0"/>
        <v>44</v>
      </c>
      <c r="C20" s="19">
        <f>INDEX(위험률!$B:$B,B20+2)</f>
        <v>1.3389999999999999E-3</v>
      </c>
      <c r="D20" s="19">
        <f>INDEX(위험률!$C:$C,B20+2)</f>
        <v>2.0542999999999999E-4</v>
      </c>
      <c r="E20" s="19">
        <f>INDEX(위험률!$D:$D,B20+2)</f>
        <v>2.944E-3</v>
      </c>
      <c r="F20" s="19">
        <f t="shared" si="1"/>
        <v>1.5442924646149997E-3</v>
      </c>
      <c r="G20" s="20">
        <f t="shared" si="8"/>
        <v>99519.769490425824</v>
      </c>
      <c r="H20" s="20">
        <f t="shared" si="9"/>
        <v>98412.402047442447</v>
      </c>
      <c r="I20" s="20">
        <f t="shared" si="2"/>
        <v>90159.999340174269</v>
      </c>
      <c r="J20" s="20">
        <f t="shared" si="3"/>
        <v>89156.779091173215</v>
      </c>
      <c r="K20" s="20">
        <f t="shared" si="4"/>
        <v>137.52495751973422</v>
      </c>
      <c r="L20" s="21">
        <f t="shared" si="5"/>
        <v>1</v>
      </c>
      <c r="M20" s="20">
        <f>SUM(I20:$I$87)</f>
        <v>2215049.4953444372</v>
      </c>
      <c r="N20" s="20">
        <f>SUM(J20:$J$87)</f>
        <v>1918142.2111668005</v>
      </c>
      <c r="O20" s="22">
        <f>IF(I20&lt;=0,0,(IF(A20&lt;$B$4,SUMPRODUCT(L20:$L$86,K20:$K$86),0)+베타후*(INDEX($M$16:$M$87,MAX(A20,$B$5)+1)-$M$87)-IF(A20&lt;=$B$5,$E$13*(N20-INDEX($N$16:$N$87,$B$5+1)),0))/I20)</f>
        <v>0.10105189322646732</v>
      </c>
      <c r="P20" s="6">
        <f t="shared" si="6"/>
        <v>10105</v>
      </c>
      <c r="Q20" s="7">
        <v>10105</v>
      </c>
      <c r="R20" s="6">
        <f t="shared" si="7"/>
        <v>0</v>
      </c>
    </row>
    <row r="21" spans="1:18" x14ac:dyDescent="0.45">
      <c r="A21">
        <v>5</v>
      </c>
      <c r="B21">
        <f t="shared" si="0"/>
        <v>45</v>
      </c>
      <c r="C21" s="19">
        <f>INDEX(위험률!$B:$B,B21+2)</f>
        <v>1.498E-3</v>
      </c>
      <c r="D21" s="19">
        <f>INDEX(위험률!$C:$C,B21+2)</f>
        <v>2.3112999999999999E-4</v>
      </c>
      <c r="E21" s="19">
        <f>INDEX(위험률!$D:$D,B21+2)</f>
        <v>2.9910000000000002E-3</v>
      </c>
      <c r="F21" s="19">
        <f t="shared" si="1"/>
        <v>1.7289568836299999E-3</v>
      </c>
      <c r="G21" s="20">
        <f t="shared" si="8"/>
        <v>99366.081860321545</v>
      </c>
      <c r="H21" s="20">
        <f t="shared" si="9"/>
        <v>97970.95185512751</v>
      </c>
      <c r="I21" s="20">
        <f t="shared" si="2"/>
        <v>87825.137495203468</v>
      </c>
      <c r="J21" s="20">
        <f t="shared" si="3"/>
        <v>86592.045858340032</v>
      </c>
      <c r="K21" s="20">
        <f t="shared" si="4"/>
        <v>149.98266588212226</v>
      </c>
      <c r="L21" s="21">
        <f t="shared" si="5"/>
        <v>1</v>
      </c>
      <c r="M21" s="20">
        <f>SUM(I21:$I$87)</f>
        <v>2124889.4960042634</v>
      </c>
      <c r="N21" s="20">
        <f>SUM(J21:$J$87)</f>
        <v>1828985.4320756271</v>
      </c>
      <c r="O21" s="22">
        <f>IF(I21&lt;=0,0,(IF(A21&lt;$B$4,SUMPRODUCT(L21:$L$86,K21:$K$86),0)+베타후*(INDEX($M$16:$M$87,MAX(A21,$B$5)+1)-$M$87)-IF(A21&lt;=$B$5,$E$13*(N21-INDEX($N$16:$N$87,$B$5+1)),0))/I21)</f>
        <v>0.12750077977038696</v>
      </c>
      <c r="P21" s="6">
        <f t="shared" si="6"/>
        <v>12750</v>
      </c>
      <c r="Q21" s="7">
        <v>12750</v>
      </c>
      <c r="R21" s="6">
        <f t="shared" si="7"/>
        <v>0</v>
      </c>
    </row>
    <row r="22" spans="1:18" x14ac:dyDescent="0.45">
      <c r="A22">
        <v>6</v>
      </c>
      <c r="B22">
        <f t="shared" si="0"/>
        <v>46</v>
      </c>
      <c r="C22" s="19">
        <f>INDEX(위험률!$B:$B,B22+2)</f>
        <v>1.658E-3</v>
      </c>
      <c r="D22" s="19">
        <f>INDEX(위험률!$C:$C,B22+2)</f>
        <v>2.6092999999999998E-4</v>
      </c>
      <c r="E22" s="19">
        <f>INDEX(위험률!$D:$D,B22+2)</f>
        <v>3.0720000000000001E-3</v>
      </c>
      <c r="F22" s="19">
        <f t="shared" si="1"/>
        <v>1.91871368903E-3</v>
      </c>
      <c r="G22" s="20">
        <f t="shared" si="8"/>
        <v>99194.282189089805</v>
      </c>
      <c r="H22" s="20">
        <f t="shared" si="9"/>
        <v>97508.820344383348</v>
      </c>
      <c r="I22" s="20">
        <f t="shared" si="2"/>
        <v>85534.918652854045</v>
      </c>
      <c r="J22" s="20">
        <f t="shared" si="3"/>
        <v>84081.550186467663</v>
      </c>
      <c r="K22" s="20">
        <f t="shared" si="4"/>
        <v>162.10323728570637</v>
      </c>
      <c r="L22" s="21">
        <f t="shared" si="5"/>
        <v>1</v>
      </c>
      <c r="M22" s="20">
        <f>SUM(I22:$I$87)</f>
        <v>2037064.3585090588</v>
      </c>
      <c r="N22" s="20">
        <f>SUM(J22:$J$87)</f>
        <v>1742393.3862172873</v>
      </c>
      <c r="O22" s="22">
        <f>IF(I22&lt;=0,0,(IF(A22&lt;$B$4,SUMPRODUCT(L22:$L$86,K22:$K$86),0)+베타후*(INDEX($M$16:$M$87,MAX(A22,$B$5)+1)-$M$87)-IF(A22&lt;=$B$5,$E$13*(N22-INDEX($N$16:$N$87,$B$5+1)),0))/I22)</f>
        <v>0.1544195149610309</v>
      </c>
      <c r="P22" s="6">
        <f t="shared" si="6"/>
        <v>15442</v>
      </c>
      <c r="Q22" s="7">
        <v>15442</v>
      </c>
      <c r="R22" s="6">
        <f t="shared" si="7"/>
        <v>0</v>
      </c>
    </row>
    <row r="23" spans="1:18" x14ac:dyDescent="0.45">
      <c r="A23">
        <v>7</v>
      </c>
      <c r="B23">
        <f t="shared" si="0"/>
        <v>47</v>
      </c>
      <c r="C23" s="19">
        <f>INDEX(위험률!$B:$B,B23+2)</f>
        <v>1.823E-3</v>
      </c>
      <c r="D23" s="19">
        <f>INDEX(위험률!$C:$C,B23+2)</f>
        <v>2.9462999999999999E-4</v>
      </c>
      <c r="E23" s="19">
        <f>INDEX(위험률!$D:$D,B23+2)</f>
        <v>3.2060000000000001E-3</v>
      </c>
      <c r="F23" s="19">
        <f t="shared" si="1"/>
        <v>2.1173614447550001E-3</v>
      </c>
      <c r="G23" s="20">
        <f t="shared" si="8"/>
        <v>99003.956761980095</v>
      </c>
      <c r="H23" s="20">
        <f t="shared" si="9"/>
        <v>97022.508160460595</v>
      </c>
      <c r="I23" s="20">
        <f t="shared" si="2"/>
        <v>83288.586959555862</v>
      </c>
      <c r="J23" s="20">
        <f t="shared" si="3"/>
        <v>81621.663135992858</v>
      </c>
      <c r="K23" s="20">
        <f t="shared" si="4"/>
        <v>174.188132119263</v>
      </c>
      <c r="L23" s="21">
        <f t="shared" si="5"/>
        <v>1</v>
      </c>
      <c r="M23" s="20">
        <f>SUM(I23:$I$87)</f>
        <v>1951529.4398562054</v>
      </c>
      <c r="N23" s="20">
        <f>SUM(J23:$J$87)</f>
        <v>1658311.8360308195</v>
      </c>
      <c r="O23" s="22">
        <f>IF(I23&lt;=0,0,(IF(A23&lt;$B$4,SUMPRODUCT(L23:$L$86,K23:$K$86),0)+베타후*(INDEX($M$16:$M$87,MAX(A23,$B$5)+1)-$M$87)-IF(A23&lt;=$B$5,$E$13*(N23-INDEX($N$16:$N$87,$B$5+1)),0))/I23)</f>
        <v>0.1818255171811769</v>
      </c>
      <c r="P23" s="6">
        <f t="shared" si="6"/>
        <v>18183</v>
      </c>
      <c r="Q23" s="7">
        <v>18183</v>
      </c>
      <c r="R23" s="6">
        <f t="shared" si="7"/>
        <v>0</v>
      </c>
    </row>
    <row r="24" spans="1:18" x14ac:dyDescent="0.45">
      <c r="A24">
        <v>8</v>
      </c>
      <c r="B24">
        <f t="shared" si="0"/>
        <v>48</v>
      </c>
      <c r="C24" s="19">
        <f>INDEX(위험률!$B:$B,B24+2)</f>
        <v>1.9970000000000001E-3</v>
      </c>
      <c r="D24" s="19">
        <f>INDEX(위험률!$C:$C,B24+2)</f>
        <v>3.2673000000000001E-4</v>
      </c>
      <c r="E24" s="19">
        <f>INDEX(위험률!$D:$D,B24+2)</f>
        <v>3.3969999999999998E-3</v>
      </c>
      <c r="F24" s="19">
        <f t="shared" si="1"/>
        <v>2.3234037600949999E-3</v>
      </c>
      <c r="G24" s="20">
        <f t="shared" si="8"/>
        <v>98794.32960105408</v>
      </c>
      <c r="H24" s="20">
        <f t="shared" si="9"/>
        <v>96506.397369465936</v>
      </c>
      <c r="I24" s="20">
        <f t="shared" si="2"/>
        <v>81085.107235843476</v>
      </c>
      <c r="J24" s="20">
        <f t="shared" si="3"/>
        <v>79207.294702514773</v>
      </c>
      <c r="K24" s="20">
        <f t="shared" si="4"/>
        <v>186.08177950479828</v>
      </c>
      <c r="L24" s="21">
        <f t="shared" si="5"/>
        <v>1</v>
      </c>
      <c r="M24" s="20">
        <f>SUM(I24:$I$87)</f>
        <v>1868240.8528966492</v>
      </c>
      <c r="N24" s="20">
        <f>SUM(J24:$J$87)</f>
        <v>1576690.1728948266</v>
      </c>
      <c r="O24" s="22">
        <f>IF(I24&lt;=0,0,(IF(A24&lt;$B$4,SUMPRODUCT(L24:$L$86,K24:$K$86),0)+베타후*(INDEX($M$16:$M$87,MAX(A24,$B$5)+1)-$M$87)-IF(A24&lt;=$B$5,$E$13*(N24-INDEX($N$16:$N$87,$B$5+1)),0))/I24)</f>
        <v>0.20973347264730968</v>
      </c>
      <c r="P24" s="6">
        <f t="shared" si="6"/>
        <v>20973</v>
      </c>
      <c r="Q24" s="7">
        <v>20973</v>
      </c>
      <c r="R24" s="6">
        <f t="shared" si="7"/>
        <v>0</v>
      </c>
    </row>
    <row r="25" spans="1:18" x14ac:dyDescent="0.45">
      <c r="A25">
        <v>9</v>
      </c>
      <c r="B25">
        <f t="shared" si="0"/>
        <v>49</v>
      </c>
      <c r="C25" s="19">
        <f>INDEX(위험률!$B:$B,B25+2)</f>
        <v>2.1919999999999999E-3</v>
      </c>
      <c r="D25" s="19">
        <f>INDEX(위험률!$C:$C,B25+2)</f>
        <v>3.6063000000000002E-4</v>
      </c>
      <c r="E25" s="19">
        <f>INDEX(위험률!$D:$D,B25+2)</f>
        <v>3.6380000000000002E-3</v>
      </c>
      <c r="F25" s="19">
        <f t="shared" si="1"/>
        <v>2.5522347495200003E-3</v>
      </c>
      <c r="G25" s="20">
        <f t="shared" si="8"/>
        <v>98564.79048418293</v>
      </c>
      <c r="H25" s="20">
        <f t="shared" si="9"/>
        <v>95954.776157237095</v>
      </c>
      <c r="I25" s="20">
        <f t="shared" si="2"/>
        <v>78923.62321249173</v>
      </c>
      <c r="J25" s="20">
        <f t="shared" si="3"/>
        <v>76833.710716283109</v>
      </c>
      <c r="K25" s="20">
        <f t="shared" si="4"/>
        <v>198.95996657306469</v>
      </c>
      <c r="L25" s="21">
        <f t="shared" si="5"/>
        <v>1</v>
      </c>
      <c r="M25" s="20">
        <f>SUM(I25:$I$87)</f>
        <v>1787155.7456608058</v>
      </c>
      <c r="N25" s="20">
        <f>SUM(J25:$J$87)</f>
        <v>1497482.8781923121</v>
      </c>
      <c r="O25" s="22">
        <f>IF(I25&lt;=0,0,(IF(A25&lt;$B$4,SUMPRODUCT(L25:$L$86,K25:$K$86),0)+베타후*(INDEX($M$16:$M$87,MAX(A25,$B$5)+1)-$M$87)-IF(A25&lt;=$B$5,$E$13*(N25-INDEX($N$16:$N$87,$B$5+1)),0))/I25)</f>
        <v>0.23815936199547511</v>
      </c>
      <c r="P25" s="6">
        <f t="shared" si="6"/>
        <v>23816</v>
      </c>
      <c r="Q25" s="7">
        <v>23816</v>
      </c>
      <c r="R25" s="6">
        <f t="shared" si="7"/>
        <v>0</v>
      </c>
    </row>
    <row r="26" spans="1:18" x14ac:dyDescent="0.45">
      <c r="A26">
        <v>10</v>
      </c>
      <c r="B26">
        <f t="shared" si="0"/>
        <v>50</v>
      </c>
      <c r="C26" s="19">
        <f>INDEX(위험률!$B:$B,B26+2)</f>
        <v>2.398E-3</v>
      </c>
      <c r="D26" s="19">
        <f>INDEX(위험률!$C:$C,B26+2)</f>
        <v>2.5240000000000001E-4</v>
      </c>
      <c r="E26" s="19">
        <f>INDEX(위험률!$D:$D,B26+2)</f>
        <v>3.9220000000000001E-3</v>
      </c>
      <c r="F26" s="19">
        <f t="shared" si="1"/>
        <v>2.6500973723999999E-3</v>
      </c>
      <c r="G26" s="20">
        <f t="shared" si="8"/>
        <v>98313.230000830037</v>
      </c>
      <c r="H26" s="20">
        <f t="shared" si="9"/>
        <v>95361.301914973898</v>
      </c>
      <c r="I26" s="20">
        <f t="shared" si="2"/>
        <v>76802.138145142235</v>
      </c>
      <c r="J26" s="20">
        <f t="shared" si="3"/>
        <v>74496.096642462129</v>
      </c>
      <c r="K26" s="20">
        <f t="shared" si="4"/>
        <v>201.03571071503507</v>
      </c>
      <c r="L26" s="21">
        <f t="shared" si="5"/>
        <v>1</v>
      </c>
      <c r="M26" s="20">
        <f>SUM(I26:$I$87)</f>
        <v>1708232.1224483142</v>
      </c>
      <c r="N26" s="20">
        <f>SUM(J26:$J$87)</f>
        <v>1420649.1674760287</v>
      </c>
      <c r="O26" s="22">
        <f>IF(I26&lt;=0,0,(IF(A26&lt;$B$4,SUMPRODUCT(L26:$L$86,K26:$K$86),0)+베타후*(INDEX($M$16:$M$87,MAX(A26,$B$5)+1)-$M$87)-IF(A26&lt;=$B$5,$E$13*(N26-INDEX($N$16:$N$87,$B$5+1)),0))/I26)</f>
        <v>0.2671076589328002</v>
      </c>
      <c r="P26" s="6">
        <f t="shared" si="6"/>
        <v>26711</v>
      </c>
      <c r="Q26" s="7">
        <v>26711</v>
      </c>
      <c r="R26" s="6">
        <f t="shared" si="7"/>
        <v>0</v>
      </c>
    </row>
    <row r="27" spans="1:18" x14ac:dyDescent="0.45">
      <c r="A27">
        <v>11</v>
      </c>
      <c r="B27">
        <f t="shared" si="0"/>
        <v>51</v>
      </c>
      <c r="C27" s="19">
        <f>INDEX(위험률!$B:$B,B27+2)</f>
        <v>2.6329999999999999E-3</v>
      </c>
      <c r="D27" s="19">
        <f>INDEX(위험률!$C:$C,B27+2)</f>
        <v>2.7060000000000002E-4</v>
      </c>
      <c r="E27" s="19">
        <f>INDEX(위험률!$D:$D,B27+2)</f>
        <v>4.2469999999999999E-3</v>
      </c>
      <c r="F27" s="19">
        <f t="shared" si="1"/>
        <v>2.9032437551000001E-3</v>
      </c>
      <c r="G27" s="20">
        <f t="shared" si="8"/>
        <v>98052.690368332682</v>
      </c>
      <c r="H27" s="20">
        <f t="shared" si="9"/>
        <v>94735.120873842694</v>
      </c>
      <c r="I27" s="20">
        <f t="shared" si="2"/>
        <v>74730.346342096687</v>
      </c>
      <c r="J27" s="20">
        <f t="shared" si="3"/>
        <v>72201.878062379998</v>
      </c>
      <c r="K27" s="20">
        <f t="shared" si="4"/>
        <v>214.29821957601141</v>
      </c>
      <c r="L27" s="21">
        <f t="shared" si="5"/>
        <v>1</v>
      </c>
      <c r="M27" s="20">
        <f>SUM(I27:$I$87)</f>
        <v>1631429.984303172</v>
      </c>
      <c r="N27" s="20">
        <f>SUM(J27:$J$87)</f>
        <v>1346153.0708335666</v>
      </c>
      <c r="O27" s="22">
        <f>IF(I27&lt;=0,0,(IF(A27&lt;$B$4,SUMPRODUCT(L27:$L$86,K27:$K$86),0)+베타후*(INDEX($M$16:$M$87,MAX(A27,$B$5)+1)-$M$87)-IF(A27&lt;=$B$5,$E$13*(N27-INDEX($N$16:$N$87,$B$5+1)),0))/I27)</f>
        <v>0.29669445959134993</v>
      </c>
      <c r="P27" s="6">
        <f t="shared" si="6"/>
        <v>29669</v>
      </c>
      <c r="Q27" s="7">
        <v>29669</v>
      </c>
      <c r="R27" s="6">
        <f t="shared" si="7"/>
        <v>0</v>
      </c>
    </row>
    <row r="28" spans="1:18" x14ac:dyDescent="0.45">
      <c r="A28">
        <v>12</v>
      </c>
      <c r="B28">
        <f t="shared" si="0"/>
        <v>52</v>
      </c>
      <c r="C28" s="19">
        <f>INDEX(위험률!$B:$B,B28+2)</f>
        <v>2.9120000000000001E-3</v>
      </c>
      <c r="D28" s="19">
        <f>INDEX(위험률!$C:$C,B28+2)</f>
        <v>2.8959999999999999E-4</v>
      </c>
      <c r="E28" s="19">
        <f>INDEX(위험률!$D:$D,B28+2)</f>
        <v>4.6150000000000002E-3</v>
      </c>
      <c r="F28" s="19">
        <f t="shared" si="1"/>
        <v>3.2011783424000001E-3</v>
      </c>
      <c r="G28" s="20">
        <f t="shared" si="8"/>
        <v>97768.019507350065</v>
      </c>
      <c r="H28" s="20">
        <f t="shared" si="9"/>
        <v>94058.380078000875</v>
      </c>
      <c r="I28" s="20">
        <f t="shared" si="2"/>
        <v>72695.986273914677</v>
      </c>
      <c r="J28" s="20">
        <f t="shared" si="3"/>
        <v>69937.662044825964</v>
      </c>
      <c r="K28" s="20">
        <f t="shared" si="4"/>
        <v>229.857336712033</v>
      </c>
      <c r="L28" s="21">
        <f t="shared" si="5"/>
        <v>1</v>
      </c>
      <c r="M28" s="20">
        <f>SUM(I28:$I$87)</f>
        <v>1556699.6379610749</v>
      </c>
      <c r="N28" s="20">
        <f>SUM(J28:$J$87)</f>
        <v>1273951.1927711866</v>
      </c>
      <c r="O28" s="22">
        <f>IF(I28&lt;=0,0,(IF(A28&lt;$B$4,SUMPRODUCT(L28:$L$86,K28:$K$86),0)+베타후*(INDEX($M$16:$M$87,MAX(A28,$B$5)+1)-$M$87)-IF(A28&lt;=$B$5,$E$13*(N28-INDEX($N$16:$N$87,$B$5+1)),0))/I28)</f>
        <v>0.32682983100735097</v>
      </c>
      <c r="P28" s="6">
        <f t="shared" si="6"/>
        <v>32683</v>
      </c>
      <c r="Q28" s="7">
        <v>32683</v>
      </c>
      <c r="R28" s="6">
        <f t="shared" si="7"/>
        <v>0</v>
      </c>
    </row>
    <row r="29" spans="1:18" x14ac:dyDescent="0.45">
      <c r="A29">
        <v>13</v>
      </c>
      <c r="B29">
        <f t="shared" si="0"/>
        <v>53</v>
      </c>
      <c r="C29" s="19">
        <f>INDEX(위험률!$B:$B,B29+2)</f>
        <v>3.2100000000000002E-3</v>
      </c>
      <c r="D29" s="19">
        <f>INDEX(위험률!$C:$C,B29+2)</f>
        <v>3.0969999999999999E-4</v>
      </c>
      <c r="E29" s="19">
        <f>INDEX(위험률!$D:$D,B29+2)</f>
        <v>5.0140000000000002E-3</v>
      </c>
      <c r="F29" s="19">
        <f t="shared" si="1"/>
        <v>3.5192029315000003E-3</v>
      </c>
      <c r="G29" s="20">
        <f t="shared" si="8"/>
        <v>97455.046640723798</v>
      </c>
      <c r="H29" s="20">
        <f t="shared" si="9"/>
        <v>93323.960550723728</v>
      </c>
      <c r="I29" s="20">
        <f t="shared" si="2"/>
        <v>70695.876543488004</v>
      </c>
      <c r="J29" s="20">
        <f t="shared" si="3"/>
        <v>67699.102520221306</v>
      </c>
      <c r="K29" s="20">
        <f t="shared" si="4"/>
        <v>245.74034384755632</v>
      </c>
      <c r="L29" s="21">
        <f t="shared" si="5"/>
        <v>1</v>
      </c>
      <c r="M29" s="20">
        <f>SUM(I29:$I$87)</f>
        <v>1484003.6516871604</v>
      </c>
      <c r="N29" s="20">
        <f>SUM(J29:$J$87)</f>
        <v>1204013.5307263606</v>
      </c>
      <c r="O29" s="22">
        <f>IF(I29&lt;=0,0,(IF(A29&lt;$B$4,SUMPRODUCT(L29:$L$86,K29:$K$86),0)+베타후*(INDEX($M$16:$M$87,MAX(A29,$B$5)+1)-$M$87)-IF(A29&lt;=$B$5,$E$13*(N29-INDEX($N$16:$N$87,$B$5+1)),0))/I29)</f>
        <v>0.35750745402827078</v>
      </c>
      <c r="P29" s="6">
        <f t="shared" si="6"/>
        <v>35751</v>
      </c>
      <c r="Q29" s="7">
        <v>35751</v>
      </c>
      <c r="R29" s="6">
        <f t="shared" si="7"/>
        <v>0</v>
      </c>
    </row>
    <row r="30" spans="1:18" x14ac:dyDescent="0.45">
      <c r="A30">
        <v>14</v>
      </c>
      <c r="B30">
        <f t="shared" si="0"/>
        <v>54</v>
      </c>
      <c r="C30" s="19">
        <f>INDEX(위험률!$B:$B,B30+2)</f>
        <v>3.5409999999999999E-3</v>
      </c>
      <c r="D30" s="19">
        <f>INDEX(위험률!$C:$C,B30+2)</f>
        <v>3.2949999999999999E-4</v>
      </c>
      <c r="E30" s="19">
        <f>INDEX(위험률!$D:$D,B30+2)</f>
        <v>5.4349999999999997E-3</v>
      </c>
      <c r="F30" s="19">
        <f t="shared" si="1"/>
        <v>3.86991662025E-3</v>
      </c>
      <c r="G30" s="20">
        <f t="shared" si="8"/>
        <v>97112.082554896289</v>
      </c>
      <c r="H30" s="20">
        <f t="shared" si="9"/>
        <v>92528.50396294141</v>
      </c>
      <c r="I30" s="20">
        <f t="shared" si="2"/>
        <v>68728.861860986552</v>
      </c>
      <c r="J30" s="20">
        <f t="shared" si="3"/>
        <v>65484.93863755693</v>
      </c>
      <c r="K30" s="20">
        <f t="shared" si="4"/>
        <v>262.71134470740884</v>
      </c>
      <c r="L30" s="21">
        <f t="shared" si="5"/>
        <v>1</v>
      </c>
      <c r="M30" s="20">
        <f>SUM(I30:$I$87)</f>
        <v>1413307.7751436722</v>
      </c>
      <c r="N30" s="20">
        <f>SUM(J30:$J$87)</f>
        <v>1136314.4282061395</v>
      </c>
      <c r="O30" s="22">
        <f>IF(I30&lt;=0,0,(IF(A30&lt;$B$4,SUMPRODUCT(L30:$L$86,K30:$K$86),0)+베타후*(INDEX($M$16:$M$87,MAX(A30,$B$5)+1)-$M$87)-IF(A30&lt;=$B$5,$E$13*(N30-INDEX($N$16:$N$87,$B$5+1)),0))/I30)</f>
        <v>0.38873994144840762</v>
      </c>
      <c r="P30" s="6">
        <f t="shared" si="6"/>
        <v>38874</v>
      </c>
      <c r="Q30" s="7">
        <v>38874</v>
      </c>
      <c r="R30" s="6">
        <f t="shared" si="7"/>
        <v>0</v>
      </c>
    </row>
    <row r="31" spans="1:18" x14ac:dyDescent="0.45">
      <c r="A31">
        <v>15</v>
      </c>
      <c r="B31">
        <f t="shared" si="0"/>
        <v>55</v>
      </c>
      <c r="C31" s="19">
        <f>INDEX(위험률!$B:$B,B31+2)</f>
        <v>3.8760000000000001E-3</v>
      </c>
      <c r="D31" s="19">
        <f>INDEX(위험률!$C:$C,B31+2)</f>
        <v>3.4909999999999997E-4</v>
      </c>
      <c r="E31" s="19">
        <f>INDEX(위험률!$D:$D,B31+2)</f>
        <v>5.8659999999999997E-3</v>
      </c>
      <c r="F31" s="19">
        <f t="shared" si="1"/>
        <v>4.2244234442000003E-3</v>
      </c>
      <c r="G31" s="20">
        <f t="shared" si="8"/>
        <v>96736.266892590007</v>
      </c>
      <c r="H31" s="20">
        <f t="shared" si="9"/>
        <v>91668.589729272499</v>
      </c>
      <c r="I31" s="20">
        <f t="shared" si="2"/>
        <v>66793.06038651694</v>
      </c>
      <c r="J31" s="20">
        <f t="shared" si="3"/>
        <v>63294.0038520667</v>
      </c>
      <c r="K31" s="20">
        <f t="shared" si="4"/>
        <v>278.69992656800554</v>
      </c>
      <c r="L31" s="21">
        <f t="shared" si="5"/>
        <v>1</v>
      </c>
      <c r="M31" s="20">
        <f>SUM(I31:$I$87)</f>
        <v>1344578.9132826859</v>
      </c>
      <c r="N31" s="20">
        <f>SUM(J31:$J$87)</f>
        <v>1070829.4895685825</v>
      </c>
      <c r="O31" s="22">
        <f>IF(I31&lt;=0,0,(IF(A31&lt;$B$4,SUMPRODUCT(L31:$L$86,K31:$K$86),0)+베타후*(INDEX($M$16:$M$87,MAX(A31,$B$5)+1)-$M$87)-IF(A31&lt;=$B$5,$E$13*(N31-INDEX($N$16:$N$87,$B$5+1)),0))/I31)</f>
        <v>0.42053456047997623</v>
      </c>
      <c r="P31" s="6">
        <f t="shared" si="6"/>
        <v>42053</v>
      </c>
      <c r="Q31" s="7">
        <v>42053</v>
      </c>
      <c r="R31" s="6">
        <f t="shared" si="7"/>
        <v>0</v>
      </c>
    </row>
    <row r="32" spans="1:18" x14ac:dyDescent="0.45">
      <c r="A32">
        <v>16</v>
      </c>
      <c r="B32">
        <f t="shared" si="0"/>
        <v>56</v>
      </c>
      <c r="C32" s="19">
        <f>INDEX(위험률!$B:$B,B32+2)</f>
        <v>4.241E-3</v>
      </c>
      <c r="D32" s="19">
        <f>INDEX(위험률!$C:$C,B32+2)</f>
        <v>3.6910000000000003E-4</v>
      </c>
      <c r="E32" s="19">
        <f>INDEX(위험률!$D:$D,B32+2)</f>
        <v>6.3169999999999997E-3</v>
      </c>
      <c r="F32" s="19">
        <f t="shared" si="1"/>
        <v>4.6093173234500002E-3</v>
      </c>
      <c r="G32" s="20">
        <f t="shared" si="8"/>
        <v>96327.611938824557</v>
      </c>
      <c r="H32" s="20">
        <f t="shared" si="9"/>
        <v>90744.844316156916</v>
      </c>
      <c r="I32" s="20">
        <f t="shared" si="2"/>
        <v>64888.681186644157</v>
      </c>
      <c r="J32" s="20">
        <f t="shared" si="3"/>
        <v>61127.989718070618</v>
      </c>
      <c r="K32" s="20">
        <f t="shared" si="4"/>
        <v>295.42253640184032</v>
      </c>
      <c r="L32" s="21">
        <f t="shared" si="5"/>
        <v>1</v>
      </c>
      <c r="M32" s="20">
        <f>SUM(I32:$I$87)</f>
        <v>1277785.8528961693</v>
      </c>
      <c r="N32" s="20">
        <f>SUM(J32:$J$87)</f>
        <v>1007535.4857165162</v>
      </c>
      <c r="O32" s="22">
        <f>IF(I32&lt;=0,0,(IF(A32&lt;$B$4,SUMPRODUCT(L32:$L$86,K32:$K$86),0)+베타후*(INDEX($M$16:$M$87,MAX(A32,$B$5)+1)-$M$87)-IF(A32&lt;=$B$5,$E$13*(N32-INDEX($N$16:$N$87,$B$5+1)),0))/I32)</f>
        <v>0.45291835111633244</v>
      </c>
      <c r="P32" s="6">
        <f t="shared" si="6"/>
        <v>45292</v>
      </c>
      <c r="Q32" s="7">
        <v>45292</v>
      </c>
      <c r="R32" s="6">
        <f t="shared" si="7"/>
        <v>0</v>
      </c>
    </row>
    <row r="33" spans="1:18" x14ac:dyDescent="0.45">
      <c r="A33">
        <v>17</v>
      </c>
      <c r="B33">
        <f t="shared" si="0"/>
        <v>57</v>
      </c>
      <c r="C33" s="19">
        <f>INDEX(위험률!$B:$B,B33+2)</f>
        <v>4.6430000000000004E-3</v>
      </c>
      <c r="D33" s="19">
        <f>INDEX(위험률!$C:$C,B33+2)</f>
        <v>3.879E-4</v>
      </c>
      <c r="E33" s="19">
        <f>INDEX(위험률!$D:$D,B33+2)</f>
        <v>6.8050000000000003E-3</v>
      </c>
      <c r="F33" s="19">
        <f t="shared" si="1"/>
        <v>5.0299994901500007E-3</v>
      </c>
      <c r="G33" s="20">
        <f t="shared" si="8"/>
        <v>95883.607408388358</v>
      </c>
      <c r="H33" s="20">
        <f t="shared" si="9"/>
        <v>89754.76402934175</v>
      </c>
      <c r="I33" s="20">
        <f t="shared" si="2"/>
        <v>63014.232843272912</v>
      </c>
      <c r="J33" s="20">
        <f t="shared" si="3"/>
        <v>58986.387268979182</v>
      </c>
      <c r="K33" s="20">
        <f t="shared" si="4"/>
        <v>313.07231289744516</v>
      </c>
      <c r="L33" s="21">
        <f t="shared" si="5"/>
        <v>1</v>
      </c>
      <c r="M33" s="20">
        <f>SUM(I33:$I$87)</f>
        <v>1212897.1717095252</v>
      </c>
      <c r="N33" s="20">
        <f>SUM(J33:$J$87)</f>
        <v>946407.49599844555</v>
      </c>
      <c r="O33" s="22">
        <f>IF(I33&lt;=0,0,(IF(A33&lt;$B$4,SUMPRODUCT(L33:$L$86,K33:$K$86),0)+베타후*(INDEX($M$16:$M$87,MAX(A33,$B$5)+1)-$M$87)-IF(A33&lt;=$B$5,$E$13*(N33-INDEX($N$16:$N$87,$B$5+1)),0))/I33)</f>
        <v>0.4859060038519562</v>
      </c>
      <c r="P33" s="6">
        <f t="shared" si="6"/>
        <v>48591</v>
      </c>
      <c r="Q33" s="7">
        <v>48591</v>
      </c>
      <c r="R33" s="6">
        <f t="shared" si="7"/>
        <v>0</v>
      </c>
    </row>
    <row r="34" spans="1:18" x14ac:dyDescent="0.45">
      <c r="A34">
        <v>18</v>
      </c>
      <c r="B34">
        <f t="shared" si="0"/>
        <v>58</v>
      </c>
      <c r="C34" s="19">
        <f>INDEX(위험률!$B:$B,B34+2)</f>
        <v>5.0899999999999999E-3</v>
      </c>
      <c r="D34" s="19">
        <f>INDEX(위험률!$C:$C,B34+2)</f>
        <v>4.059E-4</v>
      </c>
      <c r="E34" s="19">
        <f>INDEX(위험률!$D:$D,B34+2)</f>
        <v>7.3410000000000003E-3</v>
      </c>
      <c r="F34" s="19">
        <f t="shared" si="1"/>
        <v>5.4948669844999999E-3</v>
      </c>
      <c r="G34" s="20">
        <f t="shared" si="8"/>
        <v>95401.312912010413</v>
      </c>
      <c r="H34" s="20">
        <f t="shared" si="9"/>
        <v>88694.17074330138</v>
      </c>
      <c r="I34" s="20">
        <f t="shared" si="2"/>
        <v>61168.069545560051</v>
      </c>
      <c r="J34" s="20">
        <f t="shared" si="3"/>
        <v>56867.678637879959</v>
      </c>
      <c r="K34" s="20">
        <f t="shared" si="4"/>
        <v>331.98619560142993</v>
      </c>
      <c r="L34" s="21">
        <f t="shared" si="5"/>
        <v>1</v>
      </c>
      <c r="M34" s="20">
        <f>SUM(I34:$I$87)</f>
        <v>1149882.9388662523</v>
      </c>
      <c r="N34" s="20">
        <f>SUM(J34:$J$87)</f>
        <v>887421.10872946645</v>
      </c>
      <c r="O34" s="22">
        <f>IF(I34&lt;=0,0,(IF(A34&lt;$B$4,SUMPRODUCT(L34:$L$86,K34:$K$86),0)+베타후*(INDEX($M$16:$M$87,MAX(A34,$B$5)+1)-$M$87)-IF(A34&lt;=$B$5,$E$13*(N34-INDEX($N$16:$N$87,$B$5+1)),0))/I34)</f>
        <v>0.51951338608099173</v>
      </c>
      <c r="P34" s="6">
        <f t="shared" si="6"/>
        <v>51951</v>
      </c>
      <c r="Q34" s="7">
        <v>51951</v>
      </c>
      <c r="R34" s="6">
        <f t="shared" si="7"/>
        <v>0</v>
      </c>
    </row>
    <row r="35" spans="1:18" x14ac:dyDescent="0.45">
      <c r="A35">
        <v>19</v>
      </c>
      <c r="B35">
        <f t="shared" si="0"/>
        <v>59</v>
      </c>
      <c r="C35" s="19">
        <f>INDEX(위험률!$B:$B,B35+2)</f>
        <v>5.5779999999999996E-3</v>
      </c>
      <c r="D35" s="19">
        <f>INDEX(위험률!$C:$C,B35+2)</f>
        <v>4.2529999999999998E-4</v>
      </c>
      <c r="E35" s="19">
        <f>INDEX(위험률!$D:$D,B35+2)</f>
        <v>7.9319999999999998E-3</v>
      </c>
      <c r="F35" s="19">
        <f t="shared" si="1"/>
        <v>6.0021138382999996E-3</v>
      </c>
      <c r="G35" s="20">
        <f t="shared" si="8"/>
        <v>94877.09538741225</v>
      </c>
      <c r="H35" s="20">
        <f t="shared" si="9"/>
        <v>87557.624835259834</v>
      </c>
      <c r="I35" s="20">
        <f t="shared" si="2"/>
        <v>59348.252819227862</v>
      </c>
      <c r="J35" s="20">
        <f t="shared" si="3"/>
        <v>54769.721119261128</v>
      </c>
      <c r="K35" s="20">
        <f t="shared" si="4"/>
        <v>351.84406816968612</v>
      </c>
      <c r="L35" s="21">
        <f t="shared" si="5"/>
        <v>1</v>
      </c>
      <c r="M35" s="20">
        <f>SUM(I35:$I$87)</f>
        <v>1088714.869320692</v>
      </c>
      <c r="N35" s="20">
        <f>SUM(J35:$J$87)</f>
        <v>830553.43009158643</v>
      </c>
      <c r="O35" s="22">
        <f>IF(I35&lt;=0,0,(IF(A35&lt;$B$4,SUMPRODUCT(L35:$L$86,K35:$K$86),0)+베타후*(INDEX($M$16:$M$87,MAX(A35,$B$5)+1)-$M$87)-IF(A35&lt;=$B$5,$E$13*(N35-INDEX($N$16:$N$87,$B$5+1)),0))/I35)</f>
        <v>0.55375669225347313</v>
      </c>
      <c r="P35" s="6">
        <f t="shared" si="6"/>
        <v>55376</v>
      </c>
      <c r="Q35" s="7">
        <v>55376</v>
      </c>
      <c r="R35" s="6">
        <f t="shared" si="7"/>
        <v>0</v>
      </c>
    </row>
    <row r="36" spans="1:18" x14ac:dyDescent="0.45">
      <c r="A36">
        <v>20</v>
      </c>
      <c r="B36">
        <f t="shared" si="0"/>
        <v>60</v>
      </c>
      <c r="C36" s="19">
        <f>INDEX(위험률!$B:$B,B36+2)</f>
        <v>6.1060000000000003E-3</v>
      </c>
      <c r="D36" s="19">
        <f>INDEX(위험률!$C:$C,B36+2)</f>
        <v>5.3560000000000001E-4</v>
      </c>
      <c r="E36" s="19">
        <f>INDEX(위험률!$D:$D,B36+2)</f>
        <v>8.5800000000000008E-3</v>
      </c>
      <c r="F36" s="19">
        <f t="shared" si="1"/>
        <v>6.6399648132000003E-3</v>
      </c>
      <c r="G36" s="20">
        <f t="shared" si="8"/>
        <v>94307.632260249753</v>
      </c>
      <c r="H36" s="20">
        <f t="shared" si="9"/>
        <v>86339.818453704327</v>
      </c>
      <c r="I36" s="20">
        <f t="shared" si="2"/>
        <v>57553.20765824648</v>
      </c>
      <c r="J36" s="20">
        <f t="shared" si="3"/>
        <v>52690.682414002396</v>
      </c>
      <c r="K36" s="20">
        <f t="shared" si="4"/>
        <v>377.46212346791674</v>
      </c>
      <c r="L36" s="21">
        <f t="shared" si="5"/>
        <v>1</v>
      </c>
      <c r="M36" s="20">
        <f>SUM(I36:$I$87)</f>
        <v>1029366.6165014644</v>
      </c>
      <c r="N36" s="20">
        <f>SUM(J36:$J$87)</f>
        <v>775783.70897232532</v>
      </c>
      <c r="O36" s="22">
        <f>IF(I36&lt;=0,0,(IF(A36&lt;$B$4,SUMPRODUCT(L36:$L$86,K36:$K$86),0)+베타후*(INDEX($M$16:$M$87,MAX(A36,$B$5)+1)-$M$87)-IF(A36&lt;=$B$5,$E$13*(N36-INDEX($N$16:$N$87,$B$5+1)),0))/I36)</f>
        <v>0.58865792060562494</v>
      </c>
      <c r="P36" s="6">
        <f t="shared" si="6"/>
        <v>58866</v>
      </c>
      <c r="Q36" s="7">
        <v>58866</v>
      </c>
      <c r="R36" s="6">
        <f t="shared" si="7"/>
        <v>0</v>
      </c>
    </row>
    <row r="37" spans="1:18" x14ac:dyDescent="0.45">
      <c r="A37">
        <v>21</v>
      </c>
      <c r="B37">
        <f t="shared" si="0"/>
        <v>61</v>
      </c>
      <c r="C37" s="19">
        <f>INDEX(위험률!$B:$B,B37+2)</f>
        <v>6.6889999999999996E-3</v>
      </c>
      <c r="D37" s="19">
        <f>INDEX(위험률!$C:$C,B37+2)</f>
        <v>5.5080000000000005E-4</v>
      </c>
      <c r="E37" s="19">
        <f>INDEX(위험률!$D:$D,B37+2)</f>
        <v>9.3010000000000002E-3</v>
      </c>
      <c r="F37" s="19">
        <f t="shared" si="1"/>
        <v>7.2379578493999997E-3</v>
      </c>
      <c r="G37" s="20">
        <f t="shared" si="8"/>
        <v>93681.432900425498</v>
      </c>
      <c r="H37" s="20">
        <f t="shared" si="9"/>
        <v>85028.386662763689</v>
      </c>
      <c r="I37" s="20">
        <f t="shared" si="2"/>
        <v>55776.640375130679</v>
      </c>
      <c r="J37" s="20">
        <f t="shared" si="3"/>
        <v>50624.735315560989</v>
      </c>
      <c r="K37" s="20">
        <f t="shared" si="4"/>
        <v>398.7553000935182</v>
      </c>
      <c r="L37" s="21">
        <f t="shared" si="5"/>
        <v>1</v>
      </c>
      <c r="M37" s="20">
        <f>SUM(I37:$I$87)</f>
        <v>971813.40884321777</v>
      </c>
      <c r="N37" s="20">
        <f>SUM(J37:$J$87)</f>
        <v>723093.02655832295</v>
      </c>
      <c r="O37" s="22">
        <f>IF(I37&lt;=0,0,(IF(A37&lt;$B$4,SUMPRODUCT(L37:$L$86,K37:$K$86),0)+베타후*(INDEX($M$16:$M$87,MAX(A37,$B$5)+1)-$M$87)-IF(A37&lt;=$B$5,$E$13*(N37-INDEX($N$16:$N$87,$B$5+1)),0))/I37)</f>
        <v>0.59960829458765308</v>
      </c>
      <c r="P37" s="6">
        <f t="shared" si="6"/>
        <v>59961</v>
      </c>
      <c r="Q37" s="7">
        <v>59961</v>
      </c>
      <c r="R37" s="6">
        <f t="shared" si="7"/>
        <v>0</v>
      </c>
    </row>
    <row r="38" spans="1:18" x14ac:dyDescent="0.45">
      <c r="A38">
        <v>22</v>
      </c>
      <c r="B38">
        <f t="shared" si="0"/>
        <v>62</v>
      </c>
      <c r="C38" s="19">
        <f>INDEX(위험률!$B:$B,B38+2)</f>
        <v>7.3429999999999997E-3</v>
      </c>
      <c r="D38" s="19">
        <f>INDEX(위험률!$C:$C,B38+2)</f>
        <v>5.6269999999999996E-4</v>
      </c>
      <c r="E38" s="19">
        <f>INDEX(위험률!$D:$D,B38+2)</f>
        <v>1.0120000000000001E-2</v>
      </c>
      <c r="F38" s="19">
        <f t="shared" si="1"/>
        <v>7.9036340469499991E-3</v>
      </c>
      <c r="G38" s="20">
        <f t="shared" si="8"/>
        <v>93003.37063782083</v>
      </c>
      <c r="H38" s="20">
        <f t="shared" si="9"/>
        <v>83625.184897087311</v>
      </c>
      <c r="I38" s="20">
        <f t="shared" si="2"/>
        <v>54022.372100599365</v>
      </c>
      <c r="J38" s="20">
        <f t="shared" si="3"/>
        <v>48574.915344570632</v>
      </c>
      <c r="K38" s="20">
        <f t="shared" si="4"/>
        <v>421.73392777231834</v>
      </c>
      <c r="L38" s="21">
        <f t="shared" si="5"/>
        <v>1</v>
      </c>
      <c r="M38" s="20">
        <f>SUM(I38:$I$87)</f>
        <v>916036.76846808719</v>
      </c>
      <c r="N38" s="20">
        <f>SUM(J38:$J$87)</f>
        <v>672468.29124276189</v>
      </c>
      <c r="O38" s="22">
        <f>IF(I38&lt;=0,0,(IF(A38&lt;$B$4,SUMPRODUCT(L38:$L$86,K38:$K$86),0)+베타후*(INDEX($M$16:$M$87,MAX(A38,$B$5)+1)-$M$87)-IF(A38&lt;=$B$5,$E$13*(N38-INDEX($N$16:$N$87,$B$5+1)),0))/I38)</f>
        <v>0.61066560000845049</v>
      </c>
      <c r="P38" s="6">
        <f t="shared" si="6"/>
        <v>61067</v>
      </c>
      <c r="Q38" s="7">
        <v>61067</v>
      </c>
      <c r="R38" s="6">
        <f t="shared" si="7"/>
        <v>0</v>
      </c>
    </row>
    <row r="39" spans="1:18" x14ac:dyDescent="0.45">
      <c r="A39">
        <v>23</v>
      </c>
      <c r="B39">
        <f t="shared" si="0"/>
        <v>63</v>
      </c>
      <c r="C39" s="19">
        <f>INDEX(위험률!$B:$B,B39+2)</f>
        <v>8.0759999999999998E-3</v>
      </c>
      <c r="D39" s="19">
        <f>INDEX(위험률!$C:$C,B39+2)</f>
        <v>5.777E-4</v>
      </c>
      <c r="E39" s="19">
        <f>INDEX(위험률!$D:$D,B39+2)</f>
        <v>1.1050000000000001E-2</v>
      </c>
      <c r="F39" s="19">
        <f t="shared" si="1"/>
        <v>8.6513672473999999E-3</v>
      </c>
      <c r="G39" s="20">
        <f t="shared" si="8"/>
        <v>92268.306031166634</v>
      </c>
      <c r="H39" s="20">
        <f t="shared" si="9"/>
        <v>82121.536766874589</v>
      </c>
      <c r="I39" s="20">
        <f t="shared" si="2"/>
        <v>52288.19418650544</v>
      </c>
      <c r="J39" s="20">
        <f t="shared" si="3"/>
        <v>46538.048069400451</v>
      </c>
      <c r="K39" s="20">
        <f t="shared" si="4"/>
        <v>446.81367732207508</v>
      </c>
      <c r="L39" s="21">
        <f t="shared" si="5"/>
        <v>1</v>
      </c>
      <c r="M39" s="20">
        <f>SUM(I39:$I$87)</f>
        <v>862014.39636748761</v>
      </c>
      <c r="N39" s="20">
        <f>SUM(J39:$J$87)</f>
        <v>623893.37589819136</v>
      </c>
      <c r="O39" s="22">
        <f>IF(I39&lt;=0,0,(IF(A39&lt;$B$4,SUMPRODUCT(L39:$L$86,K39:$K$86),0)+베타후*(INDEX($M$16:$M$87,MAX(A39,$B$5)+1)-$M$87)-IF(A39&lt;=$B$5,$E$13*(N39-INDEX($N$16:$N$87,$B$5+1)),0))/I39)</f>
        <v>0.62182005859384915</v>
      </c>
      <c r="P39" s="6">
        <f t="shared" si="6"/>
        <v>62182</v>
      </c>
      <c r="Q39" s="7">
        <v>62182</v>
      </c>
      <c r="R39" s="6">
        <f t="shared" si="7"/>
        <v>0</v>
      </c>
    </row>
    <row r="40" spans="1:18" x14ac:dyDescent="0.45">
      <c r="A40">
        <v>24</v>
      </c>
      <c r="B40">
        <f t="shared" si="0"/>
        <v>64</v>
      </c>
      <c r="C40" s="19">
        <f>INDEX(위험률!$B:$B,B40+2)</f>
        <v>8.8990000000000007E-3</v>
      </c>
      <c r="D40" s="19">
        <f>INDEX(위험률!$C:$C,B40+2)</f>
        <v>6.0130000000000003E-4</v>
      </c>
      <c r="E40" s="19">
        <f>INDEX(위험률!$D:$D,B40+2)</f>
        <v>1.21E-2</v>
      </c>
      <c r="F40" s="19">
        <f t="shared" si="1"/>
        <v>9.4976245156500015E-3</v>
      </c>
      <c r="G40" s="20">
        <f t="shared" si="8"/>
        <v>91470.059030395525</v>
      </c>
      <c r="H40" s="20">
        <f t="shared" si="9"/>
        <v>80507.816579838225</v>
      </c>
      <c r="I40" s="20">
        <f t="shared" si="2"/>
        <v>50571.541283799619</v>
      </c>
      <c r="J40" s="20">
        <f t="shared" si="3"/>
        <v>44510.787606280297</v>
      </c>
      <c r="K40" s="20">
        <f t="shared" si="4"/>
        <v>474.41591886691037</v>
      </c>
      <c r="L40" s="21">
        <f t="shared" si="5"/>
        <v>1</v>
      </c>
      <c r="M40" s="20">
        <f>SUM(I40:$I$87)</f>
        <v>809726.20218098222</v>
      </c>
      <c r="N40" s="20">
        <f>SUM(J40:$J$87)</f>
        <v>577355.32782879088</v>
      </c>
      <c r="O40" s="22">
        <f>IF(I40&lt;=0,0,(IF(A40&lt;$B$4,SUMPRODUCT(L40:$L$86,K40:$K$86),0)+베타후*(INDEX($M$16:$M$87,MAX(A40,$B$5)+1)-$M$87)-IF(A40&lt;=$B$5,$E$13*(N40-INDEX($N$16:$N$87,$B$5+1)),0))/I40)</f>
        <v>0.633058540210373</v>
      </c>
      <c r="P40" s="6">
        <f t="shared" si="6"/>
        <v>63306</v>
      </c>
      <c r="Q40" s="7">
        <v>63306</v>
      </c>
      <c r="R40" s="6">
        <f t="shared" si="7"/>
        <v>0</v>
      </c>
    </row>
    <row r="41" spans="1:18" x14ac:dyDescent="0.45">
      <c r="A41">
        <v>25</v>
      </c>
      <c r="B41">
        <f t="shared" si="0"/>
        <v>65</v>
      </c>
      <c r="C41" s="19">
        <f>INDEX(위험률!$B:$B,B41+2)</f>
        <v>9.8449999999999996E-3</v>
      </c>
      <c r="D41" s="19">
        <f>INDEX(위험률!$C:$C,B41+2)</f>
        <v>6.3489999999999998E-4</v>
      </c>
      <c r="E41" s="19">
        <f>INDEX(위험률!$D:$D,B41+2)</f>
        <v>1.3259999999999999E-2</v>
      </c>
      <c r="F41" s="19">
        <f t="shared" si="1"/>
        <v>1.0476774704750001E-2</v>
      </c>
      <c r="G41" s="20">
        <f t="shared" si="8"/>
        <v>90601.310755300496</v>
      </c>
      <c r="H41" s="20">
        <f t="shared" si="9"/>
        <v>78773.956589911264</v>
      </c>
      <c r="I41" s="20">
        <f t="shared" si="2"/>
        <v>48869.494413178931</v>
      </c>
      <c r="J41" s="20">
        <f t="shared" si="3"/>
        <v>42489.930878284242</v>
      </c>
      <c r="K41" s="20">
        <f t="shared" si="4"/>
        <v>505.71230162944289</v>
      </c>
      <c r="L41" s="21">
        <f t="shared" si="5"/>
        <v>1</v>
      </c>
      <c r="M41" s="20">
        <f>SUM(I41:$I$87)</f>
        <v>759154.66089718265</v>
      </c>
      <c r="N41" s="20">
        <f>SUM(J41:$J$87)</f>
        <v>532844.54022251046</v>
      </c>
      <c r="O41" s="22">
        <f>IF(I41&lt;=0,0,(IF(A41&lt;$B$4,SUMPRODUCT(L41:$L$86,K41:$K$86),0)+베타후*(INDEX($M$16:$M$87,MAX(A41,$B$5)+1)-$M$87)-IF(A41&lt;=$B$5,$E$13*(N41-INDEX($N$16:$N$87,$B$5+1)),0))/I41)</f>
        <v>0.64436432214588346</v>
      </c>
      <c r="P41" s="6">
        <f t="shared" si="6"/>
        <v>64436</v>
      </c>
      <c r="Q41" s="7">
        <v>64436</v>
      </c>
      <c r="R41" s="6">
        <f t="shared" si="7"/>
        <v>0</v>
      </c>
    </row>
    <row r="42" spans="1:18" x14ac:dyDescent="0.45">
      <c r="A42">
        <v>26</v>
      </c>
      <c r="B42">
        <f t="shared" si="0"/>
        <v>66</v>
      </c>
      <c r="C42" s="19">
        <f>INDEX(위험률!$B:$B,B42+2)</f>
        <v>1.098E-2</v>
      </c>
      <c r="D42" s="19">
        <f>INDEX(위험률!$C:$C,B42+2)</f>
        <v>6.8139999999999997E-4</v>
      </c>
      <c r="E42" s="19">
        <f>INDEX(위험률!$D:$D,B42+2)</f>
        <v>1.452E-2</v>
      </c>
      <c r="F42" s="19">
        <f t="shared" si="1"/>
        <v>1.1657659114000001E-2</v>
      </c>
      <c r="G42" s="20">
        <f t="shared" si="8"/>
        <v>89652.101234562171</v>
      </c>
      <c r="H42" s="20">
        <f t="shared" si="9"/>
        <v>76909.918606633597</v>
      </c>
      <c r="I42" s="20">
        <f t="shared" si="2"/>
        <v>47178.048517343435</v>
      </c>
      <c r="J42" s="20">
        <f t="shared" si="3"/>
        <v>40472.669591930004</v>
      </c>
      <c r="K42" s="20">
        <f t="shared" si="4"/>
        <v>543.23706204071027</v>
      </c>
      <c r="L42" s="21">
        <f t="shared" si="5"/>
        <v>1</v>
      </c>
      <c r="M42" s="20">
        <f>SUM(I42:$I$87)</f>
        <v>710285.16648400377</v>
      </c>
      <c r="N42" s="20">
        <f>SUM(J42:$J$87)</f>
        <v>490354.60934422613</v>
      </c>
      <c r="O42" s="22">
        <f>IF(I42&lt;=0,0,(IF(A42&lt;$B$4,SUMPRODUCT(L42:$L$86,K42:$K$86),0)+베타후*(INDEX($M$16:$M$87,MAX(A42,$B$5)+1)-$M$87)-IF(A42&lt;=$B$5,$E$13*(N42-INDEX($N$16:$N$87,$B$5+1)),0))/I42)</f>
        <v>0.65571124320127772</v>
      </c>
      <c r="P42" s="6">
        <f t="shared" si="6"/>
        <v>65571</v>
      </c>
      <c r="Q42" s="7">
        <v>65571</v>
      </c>
      <c r="R42" s="6">
        <f t="shared" si="7"/>
        <v>0</v>
      </c>
    </row>
    <row r="43" spans="1:18" x14ac:dyDescent="0.45">
      <c r="A43">
        <v>27</v>
      </c>
      <c r="B43">
        <f t="shared" si="0"/>
        <v>67</v>
      </c>
      <c r="C43" s="19">
        <f>INDEX(위험률!$B:$B,B43+2)</f>
        <v>1.238E-2</v>
      </c>
      <c r="D43" s="19">
        <f>INDEX(위험률!$C:$C,B43+2)</f>
        <v>7.3590000000000005E-4</v>
      </c>
      <c r="E43" s="19">
        <f>INDEX(위험률!$D:$D,B43+2)</f>
        <v>1.5879999999999998E-2</v>
      </c>
      <c r="F43" s="19">
        <f t="shared" si="1"/>
        <v>1.3111344779E-2</v>
      </c>
      <c r="G43" s="20">
        <f t="shared" si="8"/>
        <v>88606.967599515832</v>
      </c>
      <c r="H43" s="20">
        <f t="shared" si="9"/>
        <v>74903.484597273404</v>
      </c>
      <c r="I43" s="20">
        <f t="shared" si="2"/>
        <v>45490.79308298976</v>
      </c>
      <c r="J43" s="20">
        <f t="shared" si="3"/>
        <v>38455.428634125761</v>
      </c>
      <c r="K43" s="20">
        <f t="shared" si="4"/>
        <v>589.12684585858369</v>
      </c>
      <c r="L43" s="21">
        <f t="shared" si="5"/>
        <v>1</v>
      </c>
      <c r="M43" s="20">
        <f>SUM(I43:$I$87)</f>
        <v>663107.11796666018</v>
      </c>
      <c r="N43" s="20">
        <f>SUM(J43:$J$87)</f>
        <v>449881.93975229614</v>
      </c>
      <c r="O43" s="22">
        <f>IF(I43&lt;=0,0,(IF(A43&lt;$B$4,SUMPRODUCT(L43:$L$86,K43:$K$86),0)+베타후*(INDEX($M$16:$M$87,MAX(A43,$B$5)+1)-$M$87)-IF(A43&lt;=$B$5,$E$13*(N43-INDEX($N$16:$N$87,$B$5+1)),0))/I43)</f>
        <v>0.66705281834064423</v>
      </c>
      <c r="P43" s="6">
        <f t="shared" si="6"/>
        <v>66705</v>
      </c>
      <c r="Q43" s="7">
        <v>66705</v>
      </c>
      <c r="R43" s="6">
        <f t="shared" si="7"/>
        <v>0</v>
      </c>
    </row>
    <row r="44" spans="1:18" x14ac:dyDescent="0.45">
      <c r="A44">
        <v>28</v>
      </c>
      <c r="B44">
        <f t="shared" si="0"/>
        <v>68</v>
      </c>
      <c r="C44" s="19">
        <f>INDEX(위험률!$B:$B,B44+2)</f>
        <v>1.4080000000000001E-2</v>
      </c>
      <c r="D44" s="19">
        <f>INDEX(위험률!$C:$C,B44+2)</f>
        <v>7.9869999999999995E-4</v>
      </c>
      <c r="E44" s="19">
        <f>INDEX(위험률!$D:$D,B44+2)</f>
        <v>1.7309999999999999E-2</v>
      </c>
      <c r="F44" s="19">
        <f t="shared" si="1"/>
        <v>1.4873077152E-2</v>
      </c>
      <c r="G44" s="20">
        <f t="shared" si="8"/>
        <v>87445.211097496896</v>
      </c>
      <c r="H44" s="20">
        <f t="shared" si="9"/>
        <v>72740.164563697021</v>
      </c>
      <c r="I44" s="20">
        <f t="shared" si="2"/>
        <v>43799.363522544911</v>
      </c>
      <c r="J44" s="20">
        <f t="shared" si="3"/>
        <v>36433.932406691885</v>
      </c>
      <c r="K44" s="20">
        <f t="shared" si="4"/>
        <v>643.43798791518884</v>
      </c>
      <c r="L44" s="21">
        <f t="shared" si="5"/>
        <v>1</v>
      </c>
      <c r="M44" s="20">
        <f>SUM(I44:$I$87)</f>
        <v>617616.32488367043</v>
      </c>
      <c r="N44" s="20">
        <f>SUM(J44:$J$87)</f>
        <v>411426.5111181704</v>
      </c>
      <c r="O44" s="22">
        <f>IF(I44&lt;=0,0,(IF(A44&lt;$B$4,SUMPRODUCT(L44:$L$86,K44:$K$86),0)+베타후*(INDEX($M$16:$M$87,MAX(A44,$B$5)+1)-$M$87)-IF(A44&lt;=$B$5,$E$13*(N44-INDEX($N$16:$N$87,$B$5+1)),0))/I44)</f>
        <v>0.67832364916273458</v>
      </c>
      <c r="P44" s="6">
        <f t="shared" si="6"/>
        <v>67832</v>
      </c>
      <c r="Q44" s="7">
        <v>67832</v>
      </c>
      <c r="R44" s="6">
        <f t="shared" si="7"/>
        <v>0</v>
      </c>
    </row>
    <row r="45" spans="1:18" x14ac:dyDescent="0.45">
      <c r="A45">
        <v>29</v>
      </c>
      <c r="B45">
        <f t="shared" si="0"/>
        <v>69</v>
      </c>
      <c r="C45" s="19">
        <f>INDEX(위험률!$B:$B,B45+2)</f>
        <v>1.6E-2</v>
      </c>
      <c r="D45" s="19">
        <f>INDEX(위험률!$C:$C,B45+2)</f>
        <v>8.6510000000000005E-4</v>
      </c>
      <c r="E45" s="19">
        <f>INDEX(위험률!$D:$D,B45+2)</f>
        <v>1.8769999999999998E-2</v>
      </c>
      <c r="F45" s="19">
        <f t="shared" si="1"/>
        <v>1.68581792E-2</v>
      </c>
      <c r="G45" s="20">
        <f t="shared" si="8"/>
        <v>86144.631726270891</v>
      </c>
      <c r="H45" s="20">
        <f t="shared" si="9"/>
        <v>70409.025115542216</v>
      </c>
      <c r="I45" s="20">
        <f t="shared" si="2"/>
        <v>42095.543619185955</v>
      </c>
      <c r="J45" s="20">
        <f t="shared" si="3"/>
        <v>34406.162386921969</v>
      </c>
      <c r="K45" s="20">
        <f t="shared" si="4"/>
        <v>700.94647436126968</v>
      </c>
      <c r="L45" s="21">
        <f t="shared" si="5"/>
        <v>1</v>
      </c>
      <c r="M45" s="20">
        <f>SUM(I45:$I$87)</f>
        <v>573816.96136112558</v>
      </c>
      <c r="N45" s="20">
        <f>SUM(J45:$J$87)</f>
        <v>374992.57871147845</v>
      </c>
      <c r="O45" s="22">
        <f>IF(I45&lt;=0,0,(IF(A45&lt;$B$4,SUMPRODUCT(L45:$L$86,K45:$K$86),0)+베타후*(INDEX($M$16:$M$87,MAX(A45,$B$5)+1)-$M$87)-IF(A45&lt;=$B$5,$E$13*(N45-INDEX($N$16:$N$87,$B$5+1)),0))/I45)</f>
        <v>0.68945318788928234</v>
      </c>
      <c r="P45" s="6">
        <f t="shared" si="6"/>
        <v>68945</v>
      </c>
      <c r="Q45" s="7">
        <v>68945</v>
      </c>
      <c r="R45" s="6">
        <f t="shared" si="7"/>
        <v>0</v>
      </c>
    </row>
    <row r="46" spans="1:18" x14ac:dyDescent="0.45">
      <c r="A46">
        <v>30</v>
      </c>
      <c r="B46">
        <f t="shared" si="0"/>
        <v>70</v>
      </c>
      <c r="C46" s="19">
        <f>INDEX(위험률!$B:$B,B46+2)</f>
        <v>1.7989999999999999E-2</v>
      </c>
      <c r="D46" s="19">
        <f>INDEX(위험률!$C:$C,B46+2)</f>
        <v>1.0449999999999999E-3</v>
      </c>
      <c r="E46" s="19">
        <f>INDEX(위험률!$D:$D,B46+2)</f>
        <v>2.0209999999999999E-2</v>
      </c>
      <c r="F46" s="19">
        <f t="shared" si="1"/>
        <v>1.9025600225000001E-2</v>
      </c>
      <c r="G46" s="20">
        <f t="shared" si="8"/>
        <v>84692.390087511405</v>
      </c>
      <c r="H46" s="20">
        <f t="shared" si="9"/>
        <v>67912.186520876814</v>
      </c>
      <c r="I46" s="20">
        <f t="shared" si="2"/>
        <v>40376.477464714444</v>
      </c>
      <c r="J46" s="20">
        <f t="shared" si="3"/>
        <v>32376.638158473761</v>
      </c>
      <c r="K46" s="20">
        <f t="shared" si="4"/>
        <v>758.76075785004321</v>
      </c>
      <c r="L46" s="21">
        <f t="shared" si="5"/>
        <v>1</v>
      </c>
      <c r="M46" s="20">
        <f>SUM(I46:$I$87)</f>
        <v>531721.41774193954</v>
      </c>
      <c r="N46" s="20">
        <f>SUM(J46:$J$87)</f>
        <v>340586.41632455651</v>
      </c>
      <c r="O46" s="22">
        <f>IF(I46&lt;=0,0,(IF(A46&lt;$B$4,SUMPRODUCT(L46:$L$86,K46:$K$86),0)+베타후*(INDEX($M$16:$M$87,MAX(A46,$B$5)+1)-$M$87)-IF(A46&lt;=$B$5,$E$13*(N46-INDEX($N$16:$N$87,$B$5+1)),0))/I46)</f>
        <v>0.70040445581003941</v>
      </c>
      <c r="P46" s="6">
        <f t="shared" si="6"/>
        <v>70040</v>
      </c>
      <c r="Q46" s="7">
        <v>70040</v>
      </c>
      <c r="R46" s="6">
        <f t="shared" si="7"/>
        <v>0</v>
      </c>
    </row>
    <row r="47" spans="1:18" x14ac:dyDescent="0.45">
      <c r="A47">
        <v>31</v>
      </c>
      <c r="B47">
        <f t="shared" si="0"/>
        <v>71</v>
      </c>
      <c r="C47" s="19">
        <f>INDEX(위험률!$B:$B,B47+2)</f>
        <v>1.9900000000000001E-2</v>
      </c>
      <c r="D47" s="19">
        <f>INDEX(위험률!$C:$C,B47+2)</f>
        <v>1.1176000000000001E-3</v>
      </c>
      <c r="E47" s="19">
        <f>INDEX(위험률!$D:$D,B47+2)</f>
        <v>2.1559999999999999E-2</v>
      </c>
      <c r="F47" s="19">
        <f t="shared" si="1"/>
        <v>2.1006479880000001E-2</v>
      </c>
      <c r="G47" s="20">
        <f t="shared" si="8"/>
        <v>83081.066531606659</v>
      </c>
      <c r="H47" s="20">
        <f t="shared" si="9"/>
        <v>65261.37817200461</v>
      </c>
      <c r="I47" s="20">
        <f t="shared" si="2"/>
        <v>38642.234874123969</v>
      </c>
      <c r="J47" s="20">
        <f t="shared" si="3"/>
        <v>30354.033822763216</v>
      </c>
      <c r="K47" s="20">
        <f t="shared" si="4"/>
        <v>801.77698495517848</v>
      </c>
      <c r="L47" s="21">
        <f t="shared" si="5"/>
        <v>1</v>
      </c>
      <c r="M47" s="20">
        <f>SUM(I47:$I$87)</f>
        <v>491344.94027722481</v>
      </c>
      <c r="N47" s="20">
        <f>SUM(J47:$J$87)</f>
        <v>308209.77816608275</v>
      </c>
      <c r="O47" s="22">
        <f>IF(I47&lt;=0,0,(IF(A47&lt;$B$4,SUMPRODUCT(L47:$L$86,K47:$K$86),0)+베타후*(INDEX($M$16:$M$87,MAX(A47,$B$5)+1)-$M$87)-IF(A47&lt;=$B$5,$E$13*(N47-INDEX($N$16:$N$87,$B$5+1)),0))/I47)</f>
        <v>0.7111578194274375</v>
      </c>
      <c r="P47" s="6">
        <f t="shared" si="6"/>
        <v>71116</v>
      </c>
      <c r="Q47" s="7">
        <v>71116</v>
      </c>
      <c r="R47" s="6">
        <f t="shared" si="7"/>
        <v>0</v>
      </c>
    </row>
    <row r="48" spans="1:18" x14ac:dyDescent="0.45">
      <c r="A48">
        <v>32</v>
      </c>
      <c r="B48">
        <f t="shared" ref="B48:B79" si="10">가입나이+A48</f>
        <v>72</v>
      </c>
      <c r="C48" s="19">
        <f>INDEX(위험률!$B:$B,B48+2)</f>
        <v>2.1590000000000002E-2</v>
      </c>
      <c r="D48" s="19">
        <f>INDEX(위험률!$C:$C,B48+2)</f>
        <v>1.1942999999999999E-3</v>
      </c>
      <c r="E48" s="19">
        <f>INDEX(위험률!$D:$D,B48+2)</f>
        <v>2.281E-2</v>
      </c>
      <c r="F48" s="19">
        <f t="shared" ref="F48:F79" si="11">MIN(1,C48+D48-C48*D48/2)</f>
        <v>2.2771407531500001E-2</v>
      </c>
      <c r="G48" s="20">
        <f t="shared" si="8"/>
        <v>81335.82577910152</v>
      </c>
      <c r="H48" s="20">
        <f t="shared" si="9"/>
        <v>62498.987888737829</v>
      </c>
      <c r="I48" s="20">
        <f t="shared" ref="I48:I79" si="12">G48*현가율^A48</f>
        <v>36907.802482656043</v>
      </c>
      <c r="J48" s="20">
        <f t="shared" ref="J48:J79" si="13">H48*현가율^A48</f>
        <v>28360.200173391899</v>
      </c>
      <c r="K48" s="20">
        <f t="shared" ref="K48:K79" si="14">G48*F48*현가율^(A48+0.5)</f>
        <v>830.13004158961598</v>
      </c>
      <c r="L48" s="21">
        <f t="shared" ref="L48:L79" si="15">IF(A48=0,$B$7,1)</f>
        <v>1</v>
      </c>
      <c r="M48" s="20">
        <f>SUM(I48:$I$87)</f>
        <v>452702.70540310087</v>
      </c>
      <c r="N48" s="20">
        <f>SUM(J48:$J$87)</f>
        <v>277855.7443433195</v>
      </c>
      <c r="O48" s="22">
        <f>IF(I48&lt;=0,0,(IF(A48&lt;$B$4,SUMPRODUCT(L48:$L$86,K48:$K$86),0)+베타후*(INDEX($M$16:$M$87,MAX(A48,$B$5)+1)-$M$87)-IF(A48&lt;=$B$5,$E$13*(N48-INDEX($N$16:$N$87,$B$5+1)),0))/I48)</f>
        <v>0.72180694809924184</v>
      </c>
      <c r="P48" s="6">
        <f t="shared" ref="P48:P79" si="16">ROUND(O48*100000,0)</f>
        <v>72181</v>
      </c>
      <c r="Q48" s="7">
        <v>72181</v>
      </c>
      <c r="R48" s="6">
        <f t="shared" ref="R48:R79" si="17">P48-Q48</f>
        <v>0</v>
      </c>
    </row>
    <row r="49" spans="1:18" x14ac:dyDescent="0.45">
      <c r="A49">
        <v>33</v>
      </c>
      <c r="B49">
        <f t="shared" si="10"/>
        <v>73</v>
      </c>
      <c r="C49" s="19">
        <f>INDEX(위험률!$B:$B,B49+2)</f>
        <v>2.2970000000000001E-2</v>
      </c>
      <c r="D49" s="19">
        <f>INDEX(위험률!$C:$C,B49+2)</f>
        <v>1.2696999999999999E-3</v>
      </c>
      <c r="E49" s="19">
        <f>INDEX(위험률!$D:$D,B49+2)</f>
        <v>2.3980000000000001E-2</v>
      </c>
      <c r="F49" s="19">
        <f t="shared" si="11"/>
        <v>2.42251174955E-2</v>
      </c>
      <c r="G49" s="20">
        <f t="shared" ref="G49:G80" si="18">G48*MAX(0,1-F48)</f>
        <v>79483.694543374513</v>
      </c>
      <c r="H49" s="20">
        <f t="shared" ref="H49:H80" si="19">H48*MAX(0,1-MIN(1,C48+(1-(1-D48)*(1-E48))-C48*(1-(1-D48)*(1-E48))/2))</f>
        <v>59667.269640971652</v>
      </c>
      <c r="I49" s="20">
        <f t="shared" si="12"/>
        <v>35187.668167055002</v>
      </c>
      <c r="J49" s="20">
        <f t="shared" si="13"/>
        <v>26414.877876807466</v>
      </c>
      <c r="K49" s="20">
        <f t="shared" si="14"/>
        <v>841.96579230771545</v>
      </c>
      <c r="L49" s="21">
        <f t="shared" si="15"/>
        <v>1</v>
      </c>
      <c r="M49" s="20">
        <f>SUM(I49:$I$87)</f>
        <v>415794.90292044485</v>
      </c>
      <c r="N49" s="20">
        <f>SUM(J49:$J$87)</f>
        <v>249495.54416992766</v>
      </c>
      <c r="O49" s="22">
        <f>IF(I49&lt;=0,0,(IF(A49&lt;$B$4,SUMPRODUCT(L49:$L$86,K49:$K$86),0)+베타후*(INDEX($M$16:$M$87,MAX(A49,$B$5)+1)-$M$87)-IF(A49&lt;=$B$5,$E$13*(N49-INDEX($N$16:$N$87,$B$5+1)),0))/I49)</f>
        <v>0.73245178693352375</v>
      </c>
      <c r="P49" s="6">
        <f t="shared" si="16"/>
        <v>73245</v>
      </c>
      <c r="Q49" s="7">
        <v>73245</v>
      </c>
      <c r="R49" s="6">
        <f t="shared" si="17"/>
        <v>0</v>
      </c>
    </row>
    <row r="50" spans="1:18" x14ac:dyDescent="0.45">
      <c r="A50">
        <v>34</v>
      </c>
      <c r="B50">
        <f t="shared" si="10"/>
        <v>74</v>
      </c>
      <c r="C50" s="19">
        <f>INDEX(위험률!$B:$B,B50+2)</f>
        <v>2.4109999999999999E-2</v>
      </c>
      <c r="D50" s="19">
        <f>INDEX(위험률!$C:$C,B50+2)</f>
        <v>1.3387E-3</v>
      </c>
      <c r="E50" s="19">
        <f>INDEX(위험률!$D:$D,B50+2)</f>
        <v>2.5100000000000001E-2</v>
      </c>
      <c r="F50" s="19">
        <f t="shared" si="11"/>
        <v>2.5432561971499998E-2</v>
      </c>
      <c r="G50" s="20">
        <f t="shared" si="18"/>
        <v>77558.192704084824</v>
      </c>
      <c r="H50" s="20">
        <f t="shared" si="19"/>
        <v>56809.230726553098</v>
      </c>
      <c r="I50" s="20">
        <f t="shared" si="12"/>
        <v>33497.797825673588</v>
      </c>
      <c r="J50" s="20">
        <f t="shared" si="13"/>
        <v>24536.210284976038</v>
      </c>
      <c r="K50" s="20">
        <f t="shared" si="14"/>
        <v>841.48123525148083</v>
      </c>
      <c r="L50" s="21">
        <f t="shared" si="15"/>
        <v>1</v>
      </c>
      <c r="M50" s="20">
        <f>SUM(I50:$I$87)</f>
        <v>380607.23475338984</v>
      </c>
      <c r="N50" s="20">
        <f>SUM(J50:$J$87)</f>
        <v>223080.66629312019</v>
      </c>
      <c r="O50" s="22">
        <f>IF(I50&lt;=0,0,(IF(A50&lt;$B$4,SUMPRODUCT(L50:$L$86,K50:$K$86),0)+베타후*(INDEX($M$16:$M$87,MAX(A50,$B$5)+1)-$M$87)-IF(A50&lt;=$B$5,$E$13*(N50-INDEX($N$16:$N$87,$B$5+1)),0))/I50)</f>
        <v>0.7432165271302551</v>
      </c>
      <c r="P50" s="6">
        <f t="shared" si="16"/>
        <v>74322</v>
      </c>
      <c r="Q50" s="7">
        <v>74322</v>
      </c>
      <c r="R50" s="6">
        <f t="shared" si="17"/>
        <v>0</v>
      </c>
    </row>
    <row r="51" spans="1:18" x14ac:dyDescent="0.45">
      <c r="A51">
        <v>35</v>
      </c>
      <c r="B51">
        <f t="shared" si="10"/>
        <v>75</v>
      </c>
      <c r="C51" s="19">
        <f>INDEX(위험률!$B:$B,B51+2)</f>
        <v>2.529E-2</v>
      </c>
      <c r="D51" s="19">
        <f>INDEX(위험률!$C:$C,B51+2)</f>
        <v>1.3997E-3</v>
      </c>
      <c r="E51" s="19">
        <f>INDEX(위험률!$D:$D,B51+2)</f>
        <v>2.6259999999999999E-2</v>
      </c>
      <c r="F51" s="19">
        <f t="shared" si="11"/>
        <v>2.66720007935E-2</v>
      </c>
      <c r="G51" s="20">
        <f t="shared" si="18"/>
        <v>75585.689161740651</v>
      </c>
      <c r="H51" s="20">
        <f t="shared" si="19"/>
        <v>53957.589976325711</v>
      </c>
      <c r="I51" s="20">
        <f t="shared" si="12"/>
        <v>31849.622445427682</v>
      </c>
      <c r="J51" s="20">
        <f t="shared" si="13"/>
        <v>22736.167227817485</v>
      </c>
      <c r="K51" s="20">
        <f t="shared" si="14"/>
        <v>839.06953148017794</v>
      </c>
      <c r="L51" s="21">
        <f t="shared" si="15"/>
        <v>1</v>
      </c>
      <c r="M51" s="20">
        <f>SUM(I51:$I$87)</f>
        <v>347109.43692771625</v>
      </c>
      <c r="N51" s="20">
        <f>SUM(J51:$J$87)</f>
        <v>198544.45600814419</v>
      </c>
      <c r="O51" s="22">
        <f>IF(I51&lt;=0,0,(IF(A51&lt;$B$4,SUMPRODUCT(L51:$L$86,K51:$K$86),0)+베타후*(INDEX($M$16:$M$87,MAX(A51,$B$5)+1)-$M$87)-IF(A51&lt;=$B$5,$E$13*(N51-INDEX($N$16:$N$87,$B$5+1)),0))/I51)</f>
        <v>0.7542047939371993</v>
      </c>
      <c r="P51" s="6">
        <f t="shared" si="16"/>
        <v>75420</v>
      </c>
      <c r="Q51" s="7">
        <v>75420</v>
      </c>
      <c r="R51" s="6">
        <f t="shared" si="17"/>
        <v>0</v>
      </c>
    </row>
    <row r="52" spans="1:18" x14ac:dyDescent="0.45">
      <c r="A52">
        <v>36</v>
      </c>
      <c r="B52">
        <f t="shared" si="10"/>
        <v>76</v>
      </c>
      <c r="C52" s="19">
        <f>INDEX(위험률!$B:$B,B52+2)</f>
        <v>2.6939999999999999E-2</v>
      </c>
      <c r="D52" s="19">
        <f>INDEX(위험률!$C:$C,B52+2)</f>
        <v>1.4476999999999999E-3</v>
      </c>
      <c r="E52" s="19">
        <f>INDEX(위험률!$D:$D,B52+2)</f>
        <v>2.7560000000000001E-2</v>
      </c>
      <c r="F52" s="19">
        <f t="shared" si="11"/>
        <v>2.8368199480999997E-2</v>
      </c>
      <c r="G52" s="20">
        <f t="shared" si="18"/>
        <v>73569.667600441462</v>
      </c>
      <c r="H52" s="20">
        <f t="shared" si="19"/>
        <v>51121.382007397166</v>
      </c>
      <c r="I52" s="20">
        <f t="shared" si="12"/>
        <v>30244.028575893226</v>
      </c>
      <c r="J52" s="20">
        <f t="shared" si="13"/>
        <v>21015.679269721153</v>
      </c>
      <c r="K52" s="20">
        <f t="shared" si="14"/>
        <v>847.44101452735026</v>
      </c>
      <c r="L52" s="21">
        <f t="shared" si="15"/>
        <v>1</v>
      </c>
      <c r="M52" s="20">
        <f>SUM(I52:$I$87)</f>
        <v>315259.81448228861</v>
      </c>
      <c r="N52" s="20">
        <f>SUM(J52:$J$87)</f>
        <v>175808.28878032666</v>
      </c>
      <c r="O52" s="22">
        <f>IF(I52&lt;=0,0,(IF(A52&lt;$B$4,SUMPRODUCT(L52:$L$86,K52:$K$86),0)+베타후*(INDEX($M$16:$M$87,MAX(A52,$B$5)+1)-$M$87)-IF(A52&lt;=$B$5,$E$13*(N52-INDEX($N$16:$N$87,$B$5+1)),0))/I52)</f>
        <v>0.76544758980813321</v>
      </c>
      <c r="P52" s="6">
        <f t="shared" si="16"/>
        <v>76545</v>
      </c>
      <c r="Q52" s="7">
        <v>76545</v>
      </c>
      <c r="R52" s="6">
        <f t="shared" si="17"/>
        <v>0</v>
      </c>
    </row>
    <row r="53" spans="1:18" x14ac:dyDescent="0.45">
      <c r="A53">
        <v>37</v>
      </c>
      <c r="B53">
        <f t="shared" si="10"/>
        <v>77</v>
      </c>
      <c r="C53" s="19">
        <f>INDEX(위험률!$B:$B,B53+2)</f>
        <v>2.9420000000000002E-2</v>
      </c>
      <c r="D53" s="19">
        <f>INDEX(위험률!$C:$C,B53+2)</f>
        <v>1.4877E-3</v>
      </c>
      <c r="E53" s="19">
        <f>INDEX(위험률!$D:$D,B53+2)</f>
        <v>2.9090000000000001E-2</v>
      </c>
      <c r="F53" s="19">
        <f t="shared" si="11"/>
        <v>3.0885815933000004E-2</v>
      </c>
      <c r="G53" s="20">
        <f t="shared" si="18"/>
        <v>71482.628594201276</v>
      </c>
      <c r="H53" s="20">
        <f t="shared" si="19"/>
        <v>48283.245308775353</v>
      </c>
      <c r="I53" s="20">
        <f t="shared" si="12"/>
        <v>28669.326770871441</v>
      </c>
      <c r="J53" s="20">
        <f t="shared" si="13"/>
        <v>19364.818621509359</v>
      </c>
      <c r="K53" s="20">
        <f t="shared" si="14"/>
        <v>874.61040741803777</v>
      </c>
      <c r="L53" s="21">
        <f t="shared" si="15"/>
        <v>1</v>
      </c>
      <c r="M53" s="20">
        <f>SUM(I53:$I$87)</f>
        <v>285015.78590639535</v>
      </c>
      <c r="N53" s="20">
        <f>SUM(J53:$J$87)</f>
        <v>154792.60951060554</v>
      </c>
      <c r="O53" s="22">
        <f>IF(I53&lt;=0,0,(IF(A53&lt;$B$4,SUMPRODUCT(L53:$L$86,K53:$K$86),0)+베타후*(INDEX($M$16:$M$87,MAX(A53,$B$5)+1)-$M$87)-IF(A53&lt;=$B$5,$E$13*(N53-INDEX($N$16:$N$87,$B$5+1)),0))/I53)</f>
        <v>0.77687676150916218</v>
      </c>
      <c r="P53" s="6">
        <f t="shared" si="16"/>
        <v>77688</v>
      </c>
      <c r="Q53" s="7">
        <v>77688</v>
      </c>
      <c r="R53" s="6">
        <f t="shared" si="17"/>
        <v>0</v>
      </c>
    </row>
    <row r="54" spans="1:18" x14ac:dyDescent="0.45">
      <c r="A54">
        <v>38</v>
      </c>
      <c r="B54">
        <f t="shared" si="10"/>
        <v>78</v>
      </c>
      <c r="C54" s="19">
        <f>INDEX(위험률!$B:$B,B54+2)</f>
        <v>3.2829999999999998E-2</v>
      </c>
      <c r="D54" s="19">
        <f>INDEX(위험률!$C:$C,B54+2)</f>
        <v>1.5166999999999999E-3</v>
      </c>
      <c r="E54" s="19">
        <f>INDEX(위험률!$D:$D,B54+2)</f>
        <v>3.0939999999999999E-2</v>
      </c>
      <c r="F54" s="19">
        <f t="shared" si="11"/>
        <v>3.4321803369499998E-2</v>
      </c>
      <c r="G54" s="20">
        <f t="shared" si="18"/>
        <v>69274.829285033775</v>
      </c>
      <c r="H54" s="20">
        <f t="shared" si="19"/>
        <v>45410.13817314247</v>
      </c>
      <c r="I54" s="20">
        <f t="shared" si="12"/>
        <v>27106.196313466615</v>
      </c>
      <c r="J54" s="20">
        <f t="shared" si="13"/>
        <v>17768.302464929617</v>
      </c>
      <c r="K54" s="20">
        <f t="shared" si="14"/>
        <v>918.91797218007139</v>
      </c>
      <c r="L54" s="21">
        <f t="shared" si="15"/>
        <v>1</v>
      </c>
      <c r="M54" s="20">
        <f>SUM(I54:$I$87)</f>
        <v>256346.45913552388</v>
      </c>
      <c r="N54" s="20">
        <f>SUM(J54:$J$87)</f>
        <v>135427.79088909616</v>
      </c>
      <c r="O54" s="22">
        <f>IF(I54&lt;=0,0,(IF(A54&lt;$B$4,SUMPRODUCT(L54:$L$86,K54:$K$86),0)+베타후*(INDEX($M$16:$M$87,MAX(A54,$B$5)+1)-$M$87)-IF(A54&lt;=$B$5,$E$13*(N54-INDEX($N$16:$N$87,$B$5+1)),0))/I54)</f>
        <v>0.78835310403168501</v>
      </c>
      <c r="P54" s="6">
        <f t="shared" si="16"/>
        <v>78835</v>
      </c>
      <c r="Q54" s="7">
        <v>78835</v>
      </c>
      <c r="R54" s="6">
        <f t="shared" si="17"/>
        <v>0</v>
      </c>
    </row>
    <row r="55" spans="1:18" x14ac:dyDescent="0.45">
      <c r="A55">
        <v>39</v>
      </c>
      <c r="B55">
        <f t="shared" si="10"/>
        <v>79</v>
      </c>
      <c r="C55" s="19">
        <f>INDEX(위험률!$B:$B,B55+2)</f>
        <v>3.7080000000000002E-2</v>
      </c>
      <c r="D55" s="19">
        <f>INDEX(위험률!$C:$C,B55+2)</f>
        <v>1.5407000000000001E-3</v>
      </c>
      <c r="E55" s="19">
        <f>INDEX(위험률!$D:$D,B55+2)</f>
        <v>3.3119999999999997E-2</v>
      </c>
      <c r="F55" s="19">
        <f t="shared" si="11"/>
        <v>3.8592135422000004E-2</v>
      </c>
      <c r="G55" s="20">
        <f t="shared" si="18"/>
        <v>66897.192215857169</v>
      </c>
      <c r="H55" s="20">
        <f t="shared" si="19"/>
        <v>42471.749538552802</v>
      </c>
      <c r="I55" s="20">
        <f t="shared" si="12"/>
        <v>25537.427096098294</v>
      </c>
      <c r="J55" s="20">
        <f t="shared" si="13"/>
        <v>16213.224674434732</v>
      </c>
      <c r="K55" s="20">
        <f t="shared" si="14"/>
        <v>973.45082432659729</v>
      </c>
      <c r="L55" s="21">
        <f t="shared" si="15"/>
        <v>1</v>
      </c>
      <c r="M55" s="20">
        <f>SUM(I55:$I$87)</f>
        <v>229240.2628220573</v>
      </c>
      <c r="N55" s="20">
        <f>SUM(J55:$J$87)</f>
        <v>117659.48842416651</v>
      </c>
      <c r="O55" s="22">
        <f>IF(I55&lt;=0,0,(IF(A55&lt;$B$4,SUMPRODUCT(L55:$L$86,K55:$K$86),0)+베타후*(INDEX($M$16:$M$87,MAX(A55,$B$5)+1)-$M$87)-IF(A55&lt;=$B$5,$E$13*(N55-INDEX($N$16:$N$87,$B$5+1)),0))/I55)</f>
        <v>0.79973717621852469</v>
      </c>
      <c r="P55" s="6">
        <f t="shared" si="16"/>
        <v>79974</v>
      </c>
      <c r="Q55" s="7">
        <v>79974</v>
      </c>
      <c r="R55" s="6">
        <f t="shared" si="17"/>
        <v>0</v>
      </c>
    </row>
    <row r="56" spans="1:18" x14ac:dyDescent="0.45">
      <c r="A56">
        <v>40</v>
      </c>
      <c r="B56">
        <f t="shared" si="10"/>
        <v>80</v>
      </c>
      <c r="C56" s="19">
        <f>INDEX(위험률!$B:$B,B56+2)</f>
        <v>4.215E-2</v>
      </c>
      <c r="D56" s="19">
        <f>INDEX(위험률!$C:$C,B56+2)</f>
        <v>1.5625999999999999E-3</v>
      </c>
      <c r="E56" s="19">
        <f>INDEX(위험률!$D:$D,B56+2)</f>
        <v>3.5450000000000002E-2</v>
      </c>
      <c r="F56" s="19">
        <f t="shared" si="11"/>
        <v>4.3679668204999994E-2</v>
      </c>
      <c r="G56" s="20">
        <f t="shared" si="18"/>
        <v>64315.486714511244</v>
      </c>
      <c r="H56" s="20">
        <f t="shared" si="19"/>
        <v>39454.216307968403</v>
      </c>
      <c r="I56" s="20">
        <f t="shared" si="12"/>
        <v>23953.056830513382</v>
      </c>
      <c r="J56" s="20">
        <f t="shared" si="13"/>
        <v>14693.958387084824</v>
      </c>
      <c r="K56" s="20">
        <f t="shared" si="14"/>
        <v>1033.4235233188606</v>
      </c>
      <c r="L56" s="21">
        <f t="shared" si="15"/>
        <v>1</v>
      </c>
      <c r="M56" s="20">
        <f>SUM(I56:$I$87)</f>
        <v>203702.83572595898</v>
      </c>
      <c r="N56" s="20">
        <f>SUM(J56:$J$87)</f>
        <v>101446.26374973179</v>
      </c>
      <c r="O56" s="22">
        <f>IF(I56&lt;=0,0,(IF(A56&lt;$B$4,SUMPRODUCT(L56:$L$86,K56:$K$86),0)+베타후*(INDEX($M$16:$M$87,MAX(A56,$B$5)+1)-$M$87)-IF(A56&lt;=$B$5,$E$13*(N56-INDEX($N$16:$N$87,$B$5+1)),0))/I56)</f>
        <v>0.81092954939902229</v>
      </c>
      <c r="P56" s="6">
        <f t="shared" si="16"/>
        <v>81093</v>
      </c>
      <c r="Q56" s="7">
        <v>81093</v>
      </c>
      <c r="R56" s="6">
        <f t="shared" si="17"/>
        <v>0</v>
      </c>
    </row>
    <row r="57" spans="1:18" x14ac:dyDescent="0.45">
      <c r="A57">
        <v>41</v>
      </c>
      <c r="B57">
        <f t="shared" si="10"/>
        <v>81</v>
      </c>
      <c r="C57" s="19">
        <f>INDEX(위험률!$B:$B,B57+2)</f>
        <v>4.8140000000000002E-2</v>
      </c>
      <c r="D57" s="19">
        <f>INDEX(위험률!$C:$C,B57+2)</f>
        <v>1.5736000000000001E-3</v>
      </c>
      <c r="E57" s="19">
        <f>INDEX(위험률!$D:$D,B57+2)</f>
        <v>3.7659999999999999E-2</v>
      </c>
      <c r="F57" s="19">
        <f t="shared" si="11"/>
        <v>4.9675723448000003E-2</v>
      </c>
      <c r="G57" s="20">
        <f t="shared" si="18"/>
        <v>61506.207594378306</v>
      </c>
      <c r="H57" s="20">
        <f t="shared" si="19"/>
        <v>36363.833325904132</v>
      </c>
      <c r="I57" s="20">
        <f t="shared" si="12"/>
        <v>22348.092932352243</v>
      </c>
      <c r="J57" s="20">
        <f t="shared" si="13"/>
        <v>13212.687927423944</v>
      </c>
      <c r="K57" s="20">
        <f t="shared" si="14"/>
        <v>1096.535601531298</v>
      </c>
      <c r="L57" s="21">
        <f t="shared" si="15"/>
        <v>1</v>
      </c>
      <c r="M57" s="20">
        <f>SUM(I57:$I$87)</f>
        <v>179749.77889544558</v>
      </c>
      <c r="N57" s="20">
        <f>SUM(J57:$J$87)</f>
        <v>86752.305362646963</v>
      </c>
      <c r="O57" s="22">
        <f>IF(I57&lt;=0,0,(IF(A57&lt;$B$4,SUMPRODUCT(L57:$L$86,K57:$K$86),0)+베타후*(INDEX($M$16:$M$87,MAX(A57,$B$5)+1)-$M$87)-IF(A57&lt;=$B$5,$E$13*(N57-INDEX($N$16:$N$87,$B$5+1)),0))/I57)</f>
        <v>0.82185379565695305</v>
      </c>
      <c r="P57" s="6">
        <f t="shared" si="16"/>
        <v>82185</v>
      </c>
      <c r="Q57" s="7">
        <v>82185</v>
      </c>
      <c r="R57" s="6">
        <f t="shared" si="17"/>
        <v>0</v>
      </c>
    </row>
    <row r="58" spans="1:18" x14ac:dyDescent="0.45">
      <c r="A58">
        <v>42</v>
      </c>
      <c r="B58">
        <f t="shared" si="10"/>
        <v>82</v>
      </c>
      <c r="C58" s="19">
        <f>INDEX(위험률!$B:$B,B58+2)</f>
        <v>5.5190000000000003E-2</v>
      </c>
      <c r="D58" s="19">
        <f>INDEX(위험률!$C:$C,B58+2)</f>
        <v>1.5935999999999999E-3</v>
      </c>
      <c r="E58" s="19">
        <f>INDEX(위험률!$D:$D,B58+2)</f>
        <v>3.9480000000000001E-2</v>
      </c>
      <c r="F58" s="19">
        <f t="shared" si="11"/>
        <v>5.6739624608000007E-2</v>
      </c>
      <c r="G58" s="20">
        <f t="shared" si="18"/>
        <v>58450.842235584692</v>
      </c>
      <c r="H58" s="20">
        <f t="shared" si="19"/>
        <v>33223.037699342305</v>
      </c>
      <c r="I58" s="20">
        <f t="shared" si="12"/>
        <v>20719.93682756538</v>
      </c>
      <c r="J58" s="20">
        <f t="shared" si="13"/>
        <v>11777.062844974926</v>
      </c>
      <c r="K58" s="20">
        <f t="shared" si="14"/>
        <v>1161.2158428639843</v>
      </c>
      <c r="L58" s="21">
        <f t="shared" si="15"/>
        <v>1</v>
      </c>
      <c r="M58" s="20">
        <f>SUM(I58:$I$87)</f>
        <v>157401.68596309333</v>
      </c>
      <c r="N58" s="20">
        <f>SUM(J58:$J$87)</f>
        <v>73539.617435223045</v>
      </c>
      <c r="O58" s="22">
        <f>IF(I58&lt;=0,0,(IF(A58&lt;$B$4,SUMPRODUCT(L58:$L$86,K58:$K$86),0)+베타후*(INDEX($M$16:$M$87,MAX(A58,$B$5)+1)-$M$87)-IF(A58&lt;=$B$5,$E$13*(N58-INDEX($N$16:$N$87,$B$5+1)),0))/I58)</f>
        <v>0.83243406827080679</v>
      </c>
      <c r="P58" s="6">
        <f t="shared" si="16"/>
        <v>83243</v>
      </c>
      <c r="Q58" s="7">
        <v>83243</v>
      </c>
      <c r="R58" s="6">
        <f t="shared" si="17"/>
        <v>0</v>
      </c>
    </row>
    <row r="59" spans="1:18" x14ac:dyDescent="0.45">
      <c r="A59">
        <v>43</v>
      </c>
      <c r="B59">
        <f t="shared" si="10"/>
        <v>83</v>
      </c>
      <c r="C59" s="19">
        <f>INDEX(위험률!$B:$B,B59+2)</f>
        <v>6.3259999999999997E-2</v>
      </c>
      <c r="D59" s="19">
        <f>INDEX(위험률!$C:$C,B59+2)</f>
        <v>1.6416E-3</v>
      </c>
      <c r="E59" s="19">
        <f>INDEX(위험률!$D:$D,B59+2)</f>
        <v>4.0739999999999998E-2</v>
      </c>
      <c r="F59" s="19">
        <f t="shared" si="11"/>
        <v>6.4849676192000008E-2</v>
      </c>
      <c r="G59" s="20">
        <f t="shared" si="18"/>
        <v>55134.363389116188</v>
      </c>
      <c r="H59" s="20">
        <f t="shared" si="19"/>
        <v>30064.556900117263</v>
      </c>
      <c r="I59" s="20">
        <f t="shared" si="12"/>
        <v>19067.605258602776</v>
      </c>
      <c r="J59" s="20">
        <f t="shared" si="13"/>
        <v>10397.492017825722</v>
      </c>
      <c r="K59" s="20">
        <f t="shared" si="14"/>
        <v>1221.3553291346236</v>
      </c>
      <c r="L59" s="21">
        <f t="shared" si="15"/>
        <v>1</v>
      </c>
      <c r="M59" s="20">
        <f>SUM(I59:$I$87)</f>
        <v>136681.74913552796</v>
      </c>
      <c r="N59" s="20">
        <f>SUM(J59:$J$87)</f>
        <v>61762.55459024811</v>
      </c>
      <c r="O59" s="22">
        <f>IF(I59&lt;=0,0,(IF(A59&lt;$B$4,SUMPRODUCT(L59:$L$86,K59:$K$86),0)+베타후*(INDEX($M$16:$M$87,MAX(A59,$B$5)+1)-$M$87)-IF(A59&lt;=$B$5,$E$13*(N59-INDEX($N$16:$N$87,$B$5+1)),0))/I59)</f>
        <v>0.84258328773322277</v>
      </c>
      <c r="P59" s="6">
        <f t="shared" si="16"/>
        <v>84258</v>
      </c>
      <c r="Q59" s="7">
        <v>84258</v>
      </c>
      <c r="R59" s="6">
        <f t="shared" si="17"/>
        <v>0</v>
      </c>
    </row>
    <row r="60" spans="1:18" x14ac:dyDescent="0.45">
      <c r="A60">
        <v>44</v>
      </c>
      <c r="B60">
        <f t="shared" si="10"/>
        <v>84</v>
      </c>
      <c r="C60" s="19">
        <f>INDEX(위험률!$B:$B,B60+2)</f>
        <v>7.2139999999999996E-2</v>
      </c>
      <c r="D60" s="19">
        <f>INDEX(위험률!$C:$C,B60+2)</f>
        <v>1.7446E-3</v>
      </c>
      <c r="E60" s="19">
        <f>INDEX(위험률!$D:$D,B60+2)</f>
        <v>4.1450000000000001E-2</v>
      </c>
      <c r="F60" s="19">
        <f t="shared" si="11"/>
        <v>7.3821672277999989E-2</v>
      </c>
      <c r="G60" s="20">
        <f t="shared" si="18"/>
        <v>51558.917776279945</v>
      </c>
      <c r="H60" s="20">
        <f t="shared" si="19"/>
        <v>26930.738529766393</v>
      </c>
      <c r="I60" s="20">
        <f t="shared" si="12"/>
        <v>17396.172909098063</v>
      </c>
      <c r="J60" s="20">
        <f t="shared" si="13"/>
        <v>9086.5325386844816</v>
      </c>
      <c r="K60" s="20">
        <f t="shared" si="14"/>
        <v>1268.4567445583873</v>
      </c>
      <c r="L60" s="21">
        <f t="shared" si="15"/>
        <v>1</v>
      </c>
      <c r="M60" s="20">
        <f>SUM(I60:$I$87)</f>
        <v>117614.1438769252</v>
      </c>
      <c r="N60" s="20">
        <f>SUM(J60:$J$87)</f>
        <v>51365.062572422394</v>
      </c>
      <c r="O60" s="22">
        <f>IF(I60&lt;=0,0,(IF(A60&lt;$B$4,SUMPRODUCT(L60:$L$86,K60:$K$86),0)+베타후*(INDEX($M$16:$M$87,MAX(A60,$B$5)+1)-$M$87)-IF(A60&lt;=$B$5,$E$13*(N60-INDEX($N$16:$N$87,$B$5+1)),0))/I60)</f>
        <v>0.85223472260648214</v>
      </c>
      <c r="P60" s="6">
        <f t="shared" si="16"/>
        <v>85223</v>
      </c>
      <c r="Q60" s="7">
        <v>85223</v>
      </c>
      <c r="R60" s="6">
        <f t="shared" si="17"/>
        <v>0</v>
      </c>
    </row>
    <row r="61" spans="1:18" x14ac:dyDescent="0.45">
      <c r="A61">
        <v>45</v>
      </c>
      <c r="B61">
        <f t="shared" si="10"/>
        <v>85</v>
      </c>
      <c r="C61" s="19">
        <f>INDEX(위험률!$B:$B,B61+2)</f>
        <v>8.1570000000000004E-2</v>
      </c>
      <c r="D61" s="19">
        <f>INDEX(위험률!$C:$C,B61+2)</f>
        <v>1.9196E-3</v>
      </c>
      <c r="E61" s="19">
        <f>INDEX(위험률!$D:$D,B61+2)</f>
        <v>4.1700000000000001E-2</v>
      </c>
      <c r="F61" s="19">
        <f t="shared" si="11"/>
        <v>8.3411309113999993E-2</v>
      </c>
      <c r="G61" s="20">
        <f t="shared" si="18"/>
        <v>47752.752245191063</v>
      </c>
      <c r="H61" s="20">
        <f t="shared" si="19"/>
        <v>23868.528666967875</v>
      </c>
      <c r="I61" s="20">
        <f t="shared" si="12"/>
        <v>15718.983740206051</v>
      </c>
      <c r="J61" s="20">
        <f t="shared" si="13"/>
        <v>7856.9086885770739</v>
      </c>
      <c r="K61" s="20">
        <f t="shared" si="14"/>
        <v>1295.0527826492935</v>
      </c>
      <c r="L61" s="21">
        <f t="shared" si="15"/>
        <v>1</v>
      </c>
      <c r="M61" s="20">
        <f>SUM(I61:$I$87)</f>
        <v>100217.97096782713</v>
      </c>
      <c r="N61" s="20">
        <f>SUM(J61:$J$87)</f>
        <v>42278.530033737901</v>
      </c>
      <c r="O61" s="22">
        <f>IF(I61&lt;=0,0,(IF(A61&lt;$B$4,SUMPRODUCT(L61:$L$86,K61:$K$86),0)+베타후*(INDEX($M$16:$M$87,MAX(A61,$B$5)+1)-$M$87)-IF(A61&lt;=$B$5,$E$13*(N61-INDEX($N$16:$N$87,$B$5+1)),0))/I61)</f>
        <v>0.86136418867207376</v>
      </c>
      <c r="P61" s="6">
        <f t="shared" si="16"/>
        <v>86136</v>
      </c>
      <c r="Q61" s="7">
        <v>86136</v>
      </c>
      <c r="R61" s="6">
        <f t="shared" si="17"/>
        <v>0</v>
      </c>
    </row>
    <row r="62" spans="1:18" x14ac:dyDescent="0.45">
      <c r="A62">
        <v>46</v>
      </c>
      <c r="B62">
        <f t="shared" si="10"/>
        <v>86</v>
      </c>
      <c r="C62" s="19">
        <f>INDEX(위험률!$B:$B,B62+2)</f>
        <v>9.1450000000000004E-2</v>
      </c>
      <c r="D62" s="19">
        <f>INDEX(위험률!$C:$C,B62+2)</f>
        <v>2.1716000000000001E-3</v>
      </c>
      <c r="E62" s="19">
        <f>INDEX(위험률!$D:$D,B62+2)</f>
        <v>4.1619999999999997E-2</v>
      </c>
      <c r="F62" s="19">
        <f t="shared" si="11"/>
        <v>9.3522303589999994E-2</v>
      </c>
      <c r="G62" s="20">
        <f t="shared" si="18"/>
        <v>43769.632666623176</v>
      </c>
      <c r="H62" s="20">
        <f t="shared" si="19"/>
        <v>20924.73251643846</v>
      </c>
      <c r="I62" s="20">
        <f t="shared" si="12"/>
        <v>14056.431930237844</v>
      </c>
      <c r="J62" s="20">
        <f t="shared" si="13"/>
        <v>6719.889118467293</v>
      </c>
      <c r="K62" s="20">
        <f t="shared" si="14"/>
        <v>1298.4593461275581</v>
      </c>
      <c r="L62" s="21">
        <f t="shared" si="15"/>
        <v>1</v>
      </c>
      <c r="M62" s="20">
        <f>SUM(I62:$I$87)</f>
        <v>84498.987227621095</v>
      </c>
      <c r="N62" s="20">
        <f>SUM(J62:$J$87)</f>
        <v>34421.621345160827</v>
      </c>
      <c r="O62" s="22">
        <f>IF(I62&lt;=0,0,(IF(A62&lt;$B$4,SUMPRODUCT(L62:$L$86,K62:$K$86),0)+베타후*(INDEX($M$16:$M$87,MAX(A62,$B$5)+1)-$M$87)-IF(A62&lt;=$B$5,$E$13*(N62-INDEX($N$16:$N$87,$B$5+1)),0))/I62)</f>
        <v>0.86999303738211753</v>
      </c>
      <c r="P62" s="6">
        <f t="shared" si="16"/>
        <v>86999</v>
      </c>
      <c r="Q62" s="7">
        <v>86999</v>
      </c>
      <c r="R62" s="6">
        <f t="shared" si="17"/>
        <v>0</v>
      </c>
    </row>
    <row r="63" spans="1:18" x14ac:dyDescent="0.45">
      <c r="A63">
        <v>47</v>
      </c>
      <c r="B63">
        <f t="shared" si="10"/>
        <v>87</v>
      </c>
      <c r="C63" s="19">
        <f>INDEX(위험률!$B:$B,B63+2)</f>
        <v>0.1019</v>
      </c>
      <c r="D63" s="19">
        <f>INDEX(위험률!$C:$C,B63+2)</f>
        <v>2.4976E-3</v>
      </c>
      <c r="E63" s="19">
        <f>INDEX(위험률!$D:$D,B63+2)</f>
        <v>4.1340000000000002E-2</v>
      </c>
      <c r="F63" s="19">
        <f t="shared" si="11"/>
        <v>0.10427034728000001</v>
      </c>
      <c r="G63" s="20">
        <f t="shared" si="18"/>
        <v>39676.195792352461</v>
      </c>
      <c r="H63" s="20">
        <f t="shared" si="19"/>
        <v>18138.542030051554</v>
      </c>
      <c r="I63" s="20">
        <f t="shared" si="12"/>
        <v>12431.065400844849</v>
      </c>
      <c r="J63" s="20">
        <f t="shared" si="13"/>
        <v>5683.0398617753881</v>
      </c>
      <c r="K63" s="20">
        <f t="shared" si="14"/>
        <v>1280.2867138035028</v>
      </c>
      <c r="L63" s="21">
        <f t="shared" si="15"/>
        <v>1</v>
      </c>
      <c r="M63" s="20">
        <f>SUM(I63:$I$87)</f>
        <v>70442.555297383267</v>
      </c>
      <c r="N63" s="20">
        <f>SUM(J63:$J$87)</f>
        <v>27701.732226693537</v>
      </c>
      <c r="O63" s="22">
        <f>IF(I63&lt;=0,0,(IF(A63&lt;$B$4,SUMPRODUCT(L63:$L$86,K63:$K$86),0)+베타후*(INDEX($M$16:$M$87,MAX(A63,$B$5)+1)-$M$87)-IF(A63&lt;=$B$5,$E$13*(N63-INDEX($N$16:$N$87,$B$5+1)),0))/I63)</f>
        <v>0.87816142701195121</v>
      </c>
      <c r="P63" s="6">
        <f t="shared" si="16"/>
        <v>87816</v>
      </c>
      <c r="Q63" s="7">
        <v>87816</v>
      </c>
      <c r="R63" s="6">
        <f t="shared" si="17"/>
        <v>0</v>
      </c>
    </row>
    <row r="64" spans="1:18" x14ac:dyDescent="0.45">
      <c r="A64">
        <v>48</v>
      </c>
      <c r="B64">
        <f t="shared" si="10"/>
        <v>88</v>
      </c>
      <c r="C64" s="19">
        <f>INDEX(위험률!$B:$B,B64+2)</f>
        <v>0.11269999999999999</v>
      </c>
      <c r="D64" s="19">
        <f>INDEX(위험률!$C:$C,B64+2)</f>
        <v>2.8806000000000001E-3</v>
      </c>
      <c r="E64" s="19">
        <f>INDEX(위험률!$D:$D,B64+2)</f>
        <v>4.0899999999999999E-2</v>
      </c>
      <c r="F64" s="19">
        <f t="shared" si="11"/>
        <v>0.11541827818999999</v>
      </c>
      <c r="G64" s="20">
        <f t="shared" si="18"/>
        <v>35539.145078334594</v>
      </c>
      <c r="H64" s="20">
        <f t="shared" si="19"/>
        <v>15537.364745813342</v>
      </c>
      <c r="I64" s="20">
        <f t="shared" si="12"/>
        <v>10863.29160433011</v>
      </c>
      <c r="J64" s="20">
        <f t="shared" si="13"/>
        <v>4749.3242627129139</v>
      </c>
      <c r="K64" s="20">
        <f t="shared" si="14"/>
        <v>1238.437505717148</v>
      </c>
      <c r="L64" s="21">
        <f t="shared" si="15"/>
        <v>1</v>
      </c>
      <c r="M64" s="20">
        <f>SUM(I64:$I$87)</f>
        <v>58011.489896538442</v>
      </c>
      <c r="N64" s="20">
        <f>SUM(J64:$J$87)</f>
        <v>22018.692364918148</v>
      </c>
      <c r="O64" s="22">
        <f>IF(I64&lt;=0,0,(IF(A64&lt;$B$4,SUMPRODUCT(L64:$L$86,K64:$K$86),0)+베타후*(INDEX($M$16:$M$87,MAX(A64,$B$5)+1)-$M$87)-IF(A64&lt;=$B$5,$E$13*(N64-INDEX($N$16:$N$87,$B$5+1)),0))/I64)</f>
        <v>0.88589763609442518</v>
      </c>
      <c r="P64" s="6">
        <f t="shared" si="16"/>
        <v>88590</v>
      </c>
      <c r="Q64" s="7">
        <v>88590</v>
      </c>
      <c r="R64" s="6">
        <f t="shared" si="17"/>
        <v>0</v>
      </c>
    </row>
    <row r="65" spans="1:18" x14ac:dyDescent="0.45">
      <c r="A65">
        <v>49</v>
      </c>
      <c r="B65">
        <f t="shared" si="10"/>
        <v>89</v>
      </c>
      <c r="C65" s="19">
        <f>INDEX(위험률!$B:$B,B65+2)</f>
        <v>0.1239</v>
      </c>
      <c r="D65" s="19">
        <f>INDEX(위험률!$C:$C,B65+2)</f>
        <v>3.3016E-3</v>
      </c>
      <c r="E65" s="19">
        <f>INDEX(위험률!$D:$D,B65+2)</f>
        <v>4.0340000000000001E-2</v>
      </c>
      <c r="F65" s="19">
        <f t="shared" si="11"/>
        <v>0.12699706588000001</v>
      </c>
      <c r="G65" s="20">
        <f t="shared" si="18"/>
        <v>31437.278145048604</v>
      </c>
      <c r="H65" s="20">
        <f t="shared" si="19"/>
        <v>13146.127245308431</v>
      </c>
      <c r="I65" s="20">
        <f t="shared" si="12"/>
        <v>9375.0918945194608</v>
      </c>
      <c r="J65" s="20">
        <f t="shared" si="13"/>
        <v>3920.3823694012735</v>
      </c>
      <c r="K65" s="20">
        <f t="shared" si="14"/>
        <v>1175.9999082971378</v>
      </c>
      <c r="L65" s="21">
        <f t="shared" si="15"/>
        <v>1</v>
      </c>
      <c r="M65" s="20">
        <f>SUM(I65:$I$87)</f>
        <v>47148.198292208326</v>
      </c>
      <c r="N65" s="20">
        <f>SUM(J65:$J$87)</f>
        <v>17269.368102205233</v>
      </c>
      <c r="O65" s="22">
        <f>IF(I65&lt;=0,0,(IF(A65&lt;$B$4,SUMPRODUCT(L65:$L$86,K65:$K$86),0)+베타후*(INDEX($M$16:$M$87,MAX(A65,$B$5)+1)-$M$87)-IF(A65&lt;=$B$5,$E$13*(N65-INDEX($N$16:$N$87,$B$5+1)),0))/I65)</f>
        <v>0.89326735667034607</v>
      </c>
      <c r="P65" s="6">
        <f t="shared" si="16"/>
        <v>89327</v>
      </c>
      <c r="Q65" s="7">
        <v>89327</v>
      </c>
      <c r="R65" s="6">
        <f t="shared" si="17"/>
        <v>0</v>
      </c>
    </row>
    <row r="66" spans="1:18" x14ac:dyDescent="0.45">
      <c r="A66">
        <v>50</v>
      </c>
      <c r="B66">
        <f t="shared" si="10"/>
        <v>90</v>
      </c>
      <c r="C66" s="19">
        <f>INDEX(위험률!$B:$B,B66+2)</f>
        <v>0.13550000000000001</v>
      </c>
      <c r="D66" s="19">
        <f>INDEX(위험률!$C:$C,B66+2)</f>
        <v>3.7456E-3</v>
      </c>
      <c r="E66" s="19">
        <f>INDEX(위험률!$D:$D,B66+2)</f>
        <v>3.9789999999999999E-2</v>
      </c>
      <c r="F66" s="19">
        <f t="shared" si="11"/>
        <v>0.1389918356</v>
      </c>
      <c r="G66" s="20">
        <f t="shared" si="18"/>
        <v>27444.836061373982</v>
      </c>
      <c r="H66" s="20">
        <f t="shared" si="19"/>
        <v>10980.788304374786</v>
      </c>
      <c r="I66" s="20">
        <f t="shared" si="12"/>
        <v>7984.8612015220679</v>
      </c>
      <c r="J66" s="20">
        <f t="shared" si="13"/>
        <v>3194.7747947064968</v>
      </c>
      <c r="K66" s="20">
        <f t="shared" si="14"/>
        <v>1096.2124473360907</v>
      </c>
      <c r="L66" s="21">
        <f t="shared" si="15"/>
        <v>1</v>
      </c>
      <c r="M66" s="20">
        <f>SUM(I66:$I$87)</f>
        <v>37773.106397688862</v>
      </c>
      <c r="N66" s="20">
        <f>SUM(J66:$J$87)</f>
        <v>13348.98573280396</v>
      </c>
      <c r="O66" s="22">
        <f>IF(I66&lt;=0,0,(IF(A66&lt;$B$4,SUMPRODUCT(L66:$L$86,K66:$K$86),0)+베타후*(INDEX($M$16:$M$87,MAX(A66,$B$5)+1)-$M$87)-IF(A66&lt;=$B$5,$E$13*(N66-INDEX($N$16:$N$87,$B$5+1)),0))/I66)</f>
        <v>0.90033982727175643</v>
      </c>
      <c r="P66" s="6">
        <f t="shared" si="16"/>
        <v>90034</v>
      </c>
      <c r="Q66" s="7">
        <v>90034</v>
      </c>
      <c r="R66" s="6">
        <f t="shared" si="17"/>
        <v>0</v>
      </c>
    </row>
    <row r="67" spans="1:18" x14ac:dyDescent="0.45">
      <c r="A67">
        <v>51</v>
      </c>
      <c r="B67">
        <f t="shared" si="10"/>
        <v>91</v>
      </c>
      <c r="C67" s="19">
        <f>INDEX(위험률!$B:$B,B67+2)</f>
        <v>0.1482</v>
      </c>
      <c r="D67" s="19">
        <f>INDEX(위험률!$C:$C,B67+2)</f>
        <v>4.1945999999999997E-3</v>
      </c>
      <c r="E67" s="19">
        <f>INDEX(위험률!$D:$D,B67+2)</f>
        <v>3.9350000000000003E-2</v>
      </c>
      <c r="F67" s="19">
        <f t="shared" si="11"/>
        <v>0.15208378013999999</v>
      </c>
      <c r="G67" s="20">
        <f t="shared" si="18"/>
        <v>23630.227919462541</v>
      </c>
      <c r="H67" s="20">
        <f t="shared" si="19"/>
        <v>9048.7501943710176</v>
      </c>
      <c r="I67" s="20">
        <f t="shared" si="12"/>
        <v>6707.3470108402889</v>
      </c>
      <c r="J67" s="20">
        <f t="shared" si="13"/>
        <v>2568.4520595785843</v>
      </c>
      <c r="K67" s="20">
        <f t="shared" si="14"/>
        <v>1007.5619111669401</v>
      </c>
      <c r="L67" s="21">
        <f t="shared" si="15"/>
        <v>1</v>
      </c>
      <c r="M67" s="20">
        <f>SUM(I67:$I$87)</f>
        <v>29788.245196166801</v>
      </c>
      <c r="N67" s="20">
        <f>SUM(J67:$J$87)</f>
        <v>10154.210938097462</v>
      </c>
      <c r="O67" s="22">
        <f>IF(I67&lt;=0,0,(IF(A67&lt;$B$4,SUMPRODUCT(L67:$L$86,K67:$K$86),0)+베타후*(INDEX($M$16:$M$87,MAX(A67,$B$5)+1)-$M$87)-IF(A67&lt;=$B$5,$E$13*(N67-INDEX($N$16:$N$87,$B$5+1)),0))/I67)</f>
        <v>0.90719791843115127</v>
      </c>
      <c r="P67" s="6">
        <f t="shared" si="16"/>
        <v>90720</v>
      </c>
      <c r="Q67" s="7">
        <v>90720</v>
      </c>
      <c r="R67" s="6">
        <f t="shared" si="17"/>
        <v>0</v>
      </c>
    </row>
    <row r="68" spans="1:18" x14ac:dyDescent="0.45">
      <c r="A68">
        <v>52</v>
      </c>
      <c r="B68">
        <f t="shared" si="10"/>
        <v>92</v>
      </c>
      <c r="C68" s="19">
        <f>INDEX(위험률!$B:$B,B68+2)</f>
        <v>0.16259999999999999</v>
      </c>
      <c r="D68" s="19">
        <f>INDEX(위험률!$C:$C,B68+2)</f>
        <v>4.6275999999999999E-3</v>
      </c>
      <c r="E68" s="19">
        <f>INDEX(위험률!$D:$D,B68+2)</f>
        <v>3.909E-2</v>
      </c>
      <c r="F68" s="19">
        <f t="shared" si="11"/>
        <v>0.16685137612000001</v>
      </c>
      <c r="G68" s="20">
        <f t="shared" si="18"/>
        <v>20036.453531900908</v>
      </c>
      <c r="H68" s="20">
        <f t="shared" si="19"/>
        <v>7344.2812927132927</v>
      </c>
      <c r="I68" s="20">
        <f t="shared" si="12"/>
        <v>5548.5544611911873</v>
      </c>
      <c r="J68" s="20">
        <f t="shared" si="13"/>
        <v>2033.8002763836048</v>
      </c>
      <c r="K68" s="20">
        <f t="shared" si="14"/>
        <v>914.42420487748439</v>
      </c>
      <c r="L68" s="21">
        <f t="shared" si="15"/>
        <v>1</v>
      </c>
      <c r="M68" s="20">
        <f>SUM(I68:$I$87)</f>
        <v>23080.89818532651</v>
      </c>
      <c r="N68" s="20">
        <f>SUM(J68:$J$87)</f>
        <v>7585.7588785188773</v>
      </c>
      <c r="O68" s="22">
        <f>IF(I68&lt;=0,0,(IF(A68&lt;$B$4,SUMPRODUCT(L68:$L$86,K68:$K$86),0)+베타후*(INDEX($M$16:$M$87,MAX(A68,$B$5)+1)-$M$87)-IF(A68&lt;=$B$5,$E$13*(N68-INDEX($N$16:$N$87,$B$5+1)),0))/I68)</f>
        <v>0.91386360604692551</v>
      </c>
      <c r="P68" s="6">
        <f t="shared" si="16"/>
        <v>91386</v>
      </c>
      <c r="Q68" s="7">
        <v>91386</v>
      </c>
      <c r="R68" s="6">
        <f t="shared" si="17"/>
        <v>0</v>
      </c>
    </row>
    <row r="69" spans="1:18" x14ac:dyDescent="0.45">
      <c r="A69">
        <v>53</v>
      </c>
      <c r="B69">
        <f t="shared" si="10"/>
        <v>93</v>
      </c>
      <c r="C69" s="19">
        <f>INDEX(위험률!$B:$B,B69+2)</f>
        <v>0.1792</v>
      </c>
      <c r="D69" s="19">
        <f>INDEX(위험률!$C:$C,B69+2)</f>
        <v>5.0206000000000001E-3</v>
      </c>
      <c r="E69" s="19">
        <f>INDEX(위험률!$D:$D,B69+2)</f>
        <v>3.9050000000000001E-2</v>
      </c>
      <c r="F69" s="19">
        <f t="shared" si="11"/>
        <v>0.18377075424</v>
      </c>
      <c r="G69" s="20">
        <f t="shared" si="18"/>
        <v>16693.343687538807</v>
      </c>
      <c r="H69" s="20">
        <f t="shared" si="19"/>
        <v>5856.3506663599092</v>
      </c>
      <c r="I69" s="20">
        <f t="shared" si="12"/>
        <v>4510.0200135265104</v>
      </c>
      <c r="J69" s="20">
        <f t="shared" si="13"/>
        <v>1582.2030149195718</v>
      </c>
      <c r="K69" s="20">
        <f t="shared" si="14"/>
        <v>818.63994922774771</v>
      </c>
      <c r="L69" s="21">
        <f t="shared" si="15"/>
        <v>1</v>
      </c>
      <c r="M69" s="20">
        <f>SUM(I69:$I$87)</f>
        <v>17532.343724135317</v>
      </c>
      <c r="N69" s="20">
        <f>SUM(J69:$J$87)</f>
        <v>5551.9586021352725</v>
      </c>
      <c r="O69" s="22">
        <f>IF(I69&lt;=0,0,(IF(A69&lt;$B$4,SUMPRODUCT(L69:$L$86,K69:$K$86),0)+베타후*(INDEX($M$16:$M$87,MAX(A69,$B$5)+1)-$M$87)-IF(A69&lt;=$B$5,$E$13*(N69-INDEX($N$16:$N$87,$B$5+1)),0))/I69)</f>
        <v>0.92031725279811971</v>
      </c>
      <c r="P69" s="6">
        <f t="shared" si="16"/>
        <v>92032</v>
      </c>
      <c r="Q69" s="7">
        <v>92032</v>
      </c>
      <c r="R69" s="6">
        <f t="shared" si="17"/>
        <v>0</v>
      </c>
    </row>
    <row r="70" spans="1:18" x14ac:dyDescent="0.45">
      <c r="A70">
        <v>54</v>
      </c>
      <c r="B70">
        <f t="shared" si="10"/>
        <v>94</v>
      </c>
      <c r="C70" s="19">
        <f>INDEX(위험률!$B:$B,B70+2)</f>
        <v>0.1981</v>
      </c>
      <c r="D70" s="19">
        <f>INDEX(위험률!$C:$C,B70+2)</f>
        <v>5.3585999999999998E-3</v>
      </c>
      <c r="E70" s="19">
        <f>INDEX(위험률!$D:$D,B70+2)</f>
        <v>3.9219999999999998E-2</v>
      </c>
      <c r="F70" s="19">
        <f t="shared" si="11"/>
        <v>0.20292783066999998</v>
      </c>
      <c r="G70" s="20">
        <f t="shared" si="18"/>
        <v>13625.595327292258</v>
      </c>
      <c r="H70" s="20">
        <f t="shared" si="19"/>
        <v>4572.9701500500905</v>
      </c>
      <c r="I70" s="20">
        <f t="shared" si="12"/>
        <v>3591.4246185397546</v>
      </c>
      <c r="J70" s="20">
        <f t="shared" si="13"/>
        <v>1205.3401838406926</v>
      </c>
      <c r="K70" s="20">
        <f t="shared" si="14"/>
        <v>719.85733680921169</v>
      </c>
      <c r="L70" s="21">
        <f t="shared" si="15"/>
        <v>1</v>
      </c>
      <c r="M70" s="20">
        <f>SUM(I70:$I$87)</f>
        <v>13022.323710608804</v>
      </c>
      <c r="N70" s="20">
        <f>SUM(J70:$J$87)</f>
        <v>3969.7555872157013</v>
      </c>
      <c r="O70" s="22">
        <f>IF(I70&lt;=0,0,(IF(A70&lt;$B$4,SUMPRODUCT(L70:$L$86,K70:$K$86),0)+베타후*(INDEX($M$16:$M$87,MAX(A70,$B$5)+1)-$M$87)-IF(A70&lt;=$B$5,$E$13*(N70-INDEX($N$16:$N$87,$B$5+1)),0))/I70)</f>
        <v>0.92651234902569646</v>
      </c>
      <c r="P70" s="6">
        <f t="shared" si="16"/>
        <v>92651</v>
      </c>
      <c r="Q70" s="7">
        <v>92651</v>
      </c>
      <c r="R70" s="6">
        <f t="shared" si="17"/>
        <v>0</v>
      </c>
    </row>
    <row r="71" spans="1:18" x14ac:dyDescent="0.45">
      <c r="A71">
        <v>55</v>
      </c>
      <c r="B71">
        <f t="shared" si="10"/>
        <v>95</v>
      </c>
      <c r="C71" s="19">
        <f>INDEX(위험률!$B:$B,B71+2)</f>
        <v>0.21940000000000001</v>
      </c>
      <c r="D71" s="19">
        <f>INDEX(위험률!$C:$C,B71+2)</f>
        <v>5.6406E-3</v>
      </c>
      <c r="E71" s="19">
        <f>INDEX(위험률!$D:$D,B71+2)</f>
        <v>3.9550000000000002E-2</v>
      </c>
      <c r="F71" s="19">
        <f t="shared" si="11"/>
        <v>0.22442182618000001</v>
      </c>
      <c r="G71" s="20">
        <f t="shared" si="18"/>
        <v>10860.582825937552</v>
      </c>
      <c r="H71" s="20">
        <f t="shared" si="19"/>
        <v>3484.2660336822851</v>
      </c>
      <c r="I71" s="20">
        <f t="shared" si="12"/>
        <v>2792.8044992045379</v>
      </c>
      <c r="J71" s="20">
        <f t="shared" si="13"/>
        <v>895.98081532548019</v>
      </c>
      <c r="K71" s="20">
        <f t="shared" si="14"/>
        <v>619.07561074107593</v>
      </c>
      <c r="L71" s="21">
        <f t="shared" si="15"/>
        <v>1</v>
      </c>
      <c r="M71" s="20">
        <f>SUM(I71:$I$87)</f>
        <v>9430.8990920690485</v>
      </c>
      <c r="N71" s="20">
        <f>SUM(J71:$J$87)</f>
        <v>2764.4154033750087</v>
      </c>
      <c r="O71" s="22">
        <f>IF(I71&lt;=0,0,(IF(A71&lt;$B$4,SUMPRODUCT(L71:$L$86,K71:$K$86),0)+베타후*(INDEX($M$16:$M$87,MAX(A71,$B$5)+1)-$M$87)-IF(A71&lt;=$B$5,$E$13*(N71-INDEX($N$16:$N$87,$B$5+1)),0))/I71)</f>
        <v>0.93241417327490439</v>
      </c>
      <c r="P71" s="6">
        <f t="shared" si="16"/>
        <v>93241</v>
      </c>
      <c r="Q71" s="7">
        <v>93241</v>
      </c>
      <c r="R71" s="6">
        <f t="shared" si="17"/>
        <v>0</v>
      </c>
    </row>
    <row r="72" spans="1:18" x14ac:dyDescent="0.45">
      <c r="A72">
        <v>56</v>
      </c>
      <c r="B72">
        <f t="shared" si="10"/>
        <v>96</v>
      </c>
      <c r="C72" s="19">
        <f>INDEX(위험률!$B:$B,B72+2)</f>
        <v>0.24340000000000001</v>
      </c>
      <c r="D72" s="19">
        <f>INDEX(위험률!$C:$C,B72+2)</f>
        <v>5.8795999999999996E-3</v>
      </c>
      <c r="E72" s="19">
        <f>INDEX(위험률!$D:$D,B72+2)</f>
        <v>3.9980000000000002E-2</v>
      </c>
      <c r="F72" s="19">
        <f t="shared" si="11"/>
        <v>0.24856405268000001</v>
      </c>
      <c r="G72" s="20">
        <f t="shared" si="18"/>
        <v>8423.2309947615013</v>
      </c>
      <c r="H72" s="20">
        <f t="shared" si="19"/>
        <v>2580.3269457524393</v>
      </c>
      <c r="I72" s="20">
        <f t="shared" si="12"/>
        <v>2113.2080130042286</v>
      </c>
      <c r="J72" s="20">
        <f t="shared" si="13"/>
        <v>647.34869331328059</v>
      </c>
      <c r="K72" s="20">
        <f t="shared" si="14"/>
        <v>518.82230318895836</v>
      </c>
      <c r="L72" s="21">
        <f t="shared" si="15"/>
        <v>1</v>
      </c>
      <c r="M72" s="20">
        <f>SUM(I72:$I$87)</f>
        <v>6638.0945928645142</v>
      </c>
      <c r="N72" s="20">
        <f>SUM(J72:$J$87)</f>
        <v>1868.4345880495296</v>
      </c>
      <c r="O72" s="22">
        <f>IF(I72&lt;=0,0,(IF(A72&lt;$B$4,SUMPRODUCT(L72:$L$86,K72:$K$86),0)+베타후*(INDEX($M$16:$M$87,MAX(A72,$B$5)+1)-$M$87)-IF(A72&lt;=$B$5,$E$13*(N72-INDEX($N$16:$N$87,$B$5+1)),0))/I72)</f>
        <v>0.93799667179285173</v>
      </c>
      <c r="P72" s="6">
        <f t="shared" si="16"/>
        <v>93800</v>
      </c>
      <c r="Q72" s="7">
        <v>93800</v>
      </c>
      <c r="R72" s="6">
        <f t="shared" si="17"/>
        <v>0</v>
      </c>
    </row>
    <row r="73" spans="1:18" x14ac:dyDescent="0.45">
      <c r="A73">
        <v>57</v>
      </c>
      <c r="B73">
        <f t="shared" si="10"/>
        <v>97</v>
      </c>
      <c r="C73" s="19">
        <f>INDEX(위험률!$B:$B,B73+2)</f>
        <v>0.27029999999999998</v>
      </c>
      <c r="D73" s="19">
        <f>INDEX(위험률!$C:$C,B73+2)</f>
        <v>6.0955999999999996E-3</v>
      </c>
      <c r="E73" s="19">
        <f>INDEX(위험률!$D:$D,B73+2)</f>
        <v>4.0430000000000001E-2</v>
      </c>
      <c r="F73" s="19">
        <f t="shared" si="11"/>
        <v>0.27557177965999996</v>
      </c>
      <c r="G73" s="20">
        <f t="shared" si="18"/>
        <v>6329.5185620437942</v>
      </c>
      <c r="H73" s="20">
        <f t="shared" si="19"/>
        <v>1848.8764339140548</v>
      </c>
      <c r="I73" s="20">
        <f t="shared" si="12"/>
        <v>1549.210209888827</v>
      </c>
      <c r="J73" s="20">
        <f t="shared" si="13"/>
        <v>452.53019169875381</v>
      </c>
      <c r="K73" s="20">
        <f t="shared" si="14"/>
        <v>421.68015100748647</v>
      </c>
      <c r="L73" s="21">
        <f t="shared" si="15"/>
        <v>1</v>
      </c>
      <c r="M73" s="20">
        <f>SUM(I73:$I$87)</f>
        <v>4524.8865798602856</v>
      </c>
      <c r="N73" s="20">
        <f>SUM(J73:$J$87)</f>
        <v>1221.0858947362487</v>
      </c>
      <c r="O73" s="22">
        <f>IF(I73&lt;=0,0,(IF(A73&lt;$B$4,SUMPRODUCT(L73:$L$86,K73:$K$86),0)+베타후*(INDEX($M$16:$M$87,MAX(A73,$B$5)+1)-$M$87)-IF(A73&lt;=$B$5,$E$13*(N73-INDEX($N$16:$N$87,$B$5+1)),0))/I73)</f>
        <v>0.9432203341255091</v>
      </c>
      <c r="P73" s="6">
        <f t="shared" si="16"/>
        <v>94322</v>
      </c>
      <c r="Q73" s="7">
        <v>94322</v>
      </c>
      <c r="R73" s="6">
        <f t="shared" si="17"/>
        <v>0</v>
      </c>
    </row>
    <row r="74" spans="1:18" x14ac:dyDescent="0.45">
      <c r="A74">
        <v>58</v>
      </c>
      <c r="B74">
        <f t="shared" si="10"/>
        <v>98</v>
      </c>
      <c r="C74" s="19">
        <f>INDEX(위험률!$B:$B,B74+2)</f>
        <v>0.29980000000000001</v>
      </c>
      <c r="D74" s="19">
        <f>INDEX(위험률!$C:$C,B74+2)</f>
        <v>6.3236000000000004E-3</v>
      </c>
      <c r="E74" s="19">
        <f>INDEX(위험률!$D:$D,B74+2)</f>
        <v>4.0430000000000001E-2</v>
      </c>
      <c r="F74" s="19">
        <f t="shared" si="11"/>
        <v>0.30517569235999997</v>
      </c>
      <c r="G74" s="20">
        <f t="shared" si="18"/>
        <v>4585.2818675103827</v>
      </c>
      <c r="H74" s="20">
        <f t="shared" si="19"/>
        <v>1275.1247288779105</v>
      </c>
      <c r="I74" s="20">
        <f t="shared" si="12"/>
        <v>1094.9186295437278</v>
      </c>
      <c r="J74" s="20">
        <f t="shared" si="13"/>
        <v>304.4868038610623</v>
      </c>
      <c r="K74" s="20">
        <f t="shared" si="14"/>
        <v>330.04248697341933</v>
      </c>
      <c r="L74" s="21">
        <f t="shared" si="15"/>
        <v>1</v>
      </c>
      <c r="M74" s="20">
        <f>SUM(I74:$I$87)</f>
        <v>2975.6763699714579</v>
      </c>
      <c r="N74" s="20">
        <f>SUM(J74:$J$87)</f>
        <v>768.55570303749482</v>
      </c>
      <c r="O74" s="22">
        <f>IF(I74&lt;=0,0,(IF(A74&lt;$B$4,SUMPRODUCT(L74:$L$86,K74:$K$86),0)+베타후*(INDEX($M$16:$M$87,MAX(A74,$B$5)+1)-$M$87)-IF(A74&lt;=$B$5,$E$13*(N74-INDEX($N$16:$N$87,$B$5+1)),0))/I74)</f>
        <v>0.94803137199078824</v>
      </c>
      <c r="P74" s="6">
        <f t="shared" si="16"/>
        <v>94803</v>
      </c>
      <c r="Q74" s="7">
        <v>94803</v>
      </c>
      <c r="R74" s="6">
        <f t="shared" si="17"/>
        <v>0</v>
      </c>
    </row>
    <row r="75" spans="1:18" x14ac:dyDescent="0.45">
      <c r="A75">
        <v>59</v>
      </c>
      <c r="B75">
        <f t="shared" si="10"/>
        <v>99</v>
      </c>
      <c r="C75" s="19">
        <f>INDEX(위험률!$B:$B,B75+2)</f>
        <v>0.33119999999999999</v>
      </c>
      <c r="D75" s="19">
        <f>INDEX(위험률!$C:$C,B75+2)</f>
        <v>6.5855999999999996E-3</v>
      </c>
      <c r="E75" s="19">
        <f>INDEX(위험률!$D:$D,B75+2)</f>
        <v>4.1050000000000003E-2</v>
      </c>
      <c r="F75" s="19">
        <f t="shared" si="11"/>
        <v>0.33669502464000001</v>
      </c>
      <c r="G75" s="20">
        <f t="shared" si="18"/>
        <v>3185.9652989271481</v>
      </c>
      <c r="H75" s="20">
        <f t="shared" si="19"/>
        <v>842.43933733988035</v>
      </c>
      <c r="I75" s="20">
        <f t="shared" si="12"/>
        <v>742.22056458034979</v>
      </c>
      <c r="J75" s="20">
        <f t="shared" si="13"/>
        <v>196.25945103534525</v>
      </c>
      <c r="K75" s="20">
        <f t="shared" si="14"/>
        <v>246.83557329403135</v>
      </c>
      <c r="L75" s="21">
        <f t="shared" si="15"/>
        <v>1</v>
      </c>
      <c r="M75" s="20">
        <f>SUM(I75:$I$87)</f>
        <v>1880.7577404277304</v>
      </c>
      <c r="N75" s="20">
        <f>SUM(J75:$J$87)</f>
        <v>464.06889917643235</v>
      </c>
      <c r="O75" s="22">
        <f>IF(I75&lt;=0,0,(IF(A75&lt;$B$4,SUMPRODUCT(L75:$L$86,K75:$K$86),0)+베타후*(INDEX($M$16:$M$87,MAX(A75,$B$5)+1)-$M$87)-IF(A75&lt;=$B$5,$E$13*(N75-INDEX($N$16:$N$87,$B$5+1)),0))/I75)</f>
        <v>0.95238509779275593</v>
      </c>
      <c r="P75" s="6">
        <f t="shared" si="16"/>
        <v>95239</v>
      </c>
      <c r="Q75" s="7">
        <v>95239</v>
      </c>
      <c r="R75" s="6">
        <f t="shared" si="17"/>
        <v>0</v>
      </c>
    </row>
    <row r="76" spans="1:18" x14ac:dyDescent="0.45">
      <c r="A76">
        <v>60</v>
      </c>
      <c r="B76">
        <f t="shared" si="10"/>
        <v>100</v>
      </c>
      <c r="C76" s="19">
        <f>INDEX(위험률!$B:$B,B76+2)</f>
        <v>0.36320000000000002</v>
      </c>
      <c r="D76" s="19">
        <f>INDEX(위험률!$C:$C,B76+2)</f>
        <v>6.9005999999999998E-3</v>
      </c>
      <c r="E76" s="19">
        <f>INDEX(위험률!$D:$D,B76+2)</f>
        <v>4.1050000000000003E-2</v>
      </c>
      <c r="F76" s="19">
        <f t="shared" si="11"/>
        <v>0.36884745104</v>
      </c>
      <c r="G76" s="20">
        <f t="shared" si="18"/>
        <v>2113.266634102687</v>
      </c>
      <c r="H76" s="20">
        <f t="shared" si="19"/>
        <v>530.12890030405583</v>
      </c>
      <c r="I76" s="20">
        <f t="shared" si="12"/>
        <v>480.31082273234563</v>
      </c>
      <c r="J76" s="20">
        <f t="shared" si="13"/>
        <v>120.4895984965719</v>
      </c>
      <c r="K76" s="20">
        <f t="shared" si="14"/>
        <v>174.98758055743627</v>
      </c>
      <c r="L76" s="21">
        <f t="shared" si="15"/>
        <v>1</v>
      </c>
      <c r="M76" s="20">
        <f>SUM(I76:$I$87)</f>
        <v>1138.5371758473805</v>
      </c>
      <c r="N76" s="20">
        <f>SUM(J76:$J$87)</f>
        <v>267.80944814108705</v>
      </c>
      <c r="O76" s="22">
        <f>IF(I76&lt;=0,0,(IF(A76&lt;$B$4,SUMPRODUCT(L76:$L$86,K76:$K$86),0)+베타후*(INDEX($M$16:$M$87,MAX(A76,$B$5)+1)-$M$87)-IF(A76&lt;=$B$5,$E$13*(N76-INDEX($N$16:$N$87,$B$5+1)),0))/I76)</f>
        <v>0.95625996622396836</v>
      </c>
      <c r="P76" s="6">
        <f t="shared" si="16"/>
        <v>95626</v>
      </c>
      <c r="Q76" s="7">
        <v>95626</v>
      </c>
      <c r="R76" s="6">
        <f t="shared" si="17"/>
        <v>0</v>
      </c>
    </row>
    <row r="77" spans="1:18" x14ac:dyDescent="0.45">
      <c r="A77">
        <v>61</v>
      </c>
      <c r="B77">
        <f t="shared" si="10"/>
        <v>101</v>
      </c>
      <c r="C77" s="19">
        <f>INDEX(위험률!$B:$B,B77+2)</f>
        <v>0.39489999999999997</v>
      </c>
      <c r="D77" s="19">
        <f>INDEX(위험률!$C:$C,B77+2)</f>
        <v>7.2696000000000002E-3</v>
      </c>
      <c r="E77" s="19">
        <f>INDEX(위험률!$D:$D,B77+2)</f>
        <v>4.1050000000000003E-2</v>
      </c>
      <c r="F77" s="19">
        <f t="shared" si="11"/>
        <v>0.40073421747999999</v>
      </c>
      <c r="G77" s="20">
        <f t="shared" si="18"/>
        <v>1333.7936227460307</v>
      </c>
      <c r="H77" s="20">
        <f t="shared" si="19"/>
        <v>316.90525530853779</v>
      </c>
      <c r="I77" s="20">
        <f t="shared" si="12"/>
        <v>295.75551225423868</v>
      </c>
      <c r="J77" s="20">
        <f t="shared" si="13"/>
        <v>70.270598480499302</v>
      </c>
      <c r="K77" s="20">
        <f t="shared" si="14"/>
        <v>117.06507349302836</v>
      </c>
      <c r="L77" s="21">
        <f t="shared" si="15"/>
        <v>1</v>
      </c>
      <c r="M77" s="20">
        <f>SUM(I77:$I$87)</f>
        <v>658.2263531150345</v>
      </c>
      <c r="N77" s="20">
        <f>SUM(J77:$J$87)</f>
        <v>147.31984964451519</v>
      </c>
      <c r="O77" s="22">
        <f>IF(I77&lt;=0,0,(IF(A77&lt;$B$4,SUMPRODUCT(L77:$L$86,K77:$K$86),0)+베타후*(INDEX($M$16:$M$87,MAX(A77,$B$5)+1)-$M$87)-IF(A77&lt;=$B$5,$E$13*(N77-INDEX($N$16:$N$87,$B$5+1)),0))/I77)</f>
        <v>0.95969173179392808</v>
      </c>
      <c r="P77" s="6">
        <f t="shared" si="16"/>
        <v>95969</v>
      </c>
      <c r="Q77" s="7">
        <v>95969</v>
      </c>
      <c r="R77" s="6">
        <f t="shared" si="17"/>
        <v>0</v>
      </c>
    </row>
    <row r="78" spans="1:18" x14ac:dyDescent="0.45">
      <c r="A78">
        <v>62</v>
      </c>
      <c r="B78">
        <f t="shared" si="10"/>
        <v>102</v>
      </c>
      <c r="C78" s="19">
        <f>INDEX(위험률!$B:$B,B78+2)</f>
        <v>0.42580000000000001</v>
      </c>
      <c r="D78" s="19">
        <f>INDEX(위험률!$C:$C,B78+2)</f>
        <v>7.6826000000000004E-3</v>
      </c>
      <c r="E78" s="19">
        <f>INDEX(위험률!$D:$D,B78+2)</f>
        <v>4.1050000000000003E-2</v>
      </c>
      <c r="F78" s="19">
        <f t="shared" si="11"/>
        <v>0.43184697445999998</v>
      </c>
      <c r="G78" s="20">
        <f t="shared" si="18"/>
        <v>799.29687905508581</v>
      </c>
      <c r="H78" s="20">
        <f t="shared" si="19"/>
        <v>179.54603147906636</v>
      </c>
      <c r="I78" s="20">
        <f t="shared" si="12"/>
        <v>172.91332535184375</v>
      </c>
      <c r="J78" s="20">
        <f t="shared" si="13"/>
        <v>38.841514548979696</v>
      </c>
      <c r="K78" s="20">
        <f t="shared" si="14"/>
        <v>73.755839655199381</v>
      </c>
      <c r="L78" s="21">
        <f t="shared" si="15"/>
        <v>1</v>
      </c>
      <c r="M78" s="20">
        <f>SUM(I78:$I$87)</f>
        <v>362.4708408607961</v>
      </c>
      <c r="N78" s="20">
        <f>SUM(J78:$J$87)</f>
        <v>77.049251164015928</v>
      </c>
      <c r="O78" s="22">
        <f>IF(I78&lt;=0,0,(IF(A78&lt;$B$4,SUMPRODUCT(L78:$L$86,K78:$K$86),0)+베타후*(INDEX($M$16:$M$87,MAX(A78,$B$5)+1)-$M$87)-IF(A78&lt;=$B$5,$E$13*(N78-INDEX($N$16:$N$87,$B$5+1)),0))/I78)</f>
        <v>0.96275570664579191</v>
      </c>
      <c r="P78" s="6">
        <f t="shared" si="16"/>
        <v>96276</v>
      </c>
      <c r="Q78" s="7">
        <v>96276</v>
      </c>
      <c r="R78" s="6">
        <f t="shared" si="17"/>
        <v>0</v>
      </c>
    </row>
    <row r="79" spans="1:18" x14ac:dyDescent="0.45">
      <c r="A79">
        <v>63</v>
      </c>
      <c r="B79">
        <f t="shared" si="10"/>
        <v>103</v>
      </c>
      <c r="C79" s="19">
        <f>INDEX(위험률!$B:$B,B79+2)</f>
        <v>0.45329999999999998</v>
      </c>
      <c r="D79" s="19">
        <f>INDEX(위험률!$C:$C,B79+2)</f>
        <v>8.1206000000000004E-3</v>
      </c>
      <c r="E79" s="19">
        <f>INDEX(위험률!$D:$D,B79+2)</f>
        <v>4.1050000000000003E-2</v>
      </c>
      <c r="F79" s="19">
        <f t="shared" si="11"/>
        <v>0.45958006600999995</v>
      </c>
      <c r="G79" s="20">
        <f t="shared" si="18"/>
        <v>454.12294013982648</v>
      </c>
      <c r="H79" s="20">
        <f t="shared" si="19"/>
        <v>96.25297544444868</v>
      </c>
      <c r="I79" s="20">
        <f t="shared" si="12"/>
        <v>95.845101419348708</v>
      </c>
      <c r="J79" s="20">
        <f t="shared" si="13"/>
        <v>20.314710792955605</v>
      </c>
      <c r="K79" s="20">
        <f t="shared" si="14"/>
        <v>43.508005199145238</v>
      </c>
      <c r="L79" s="21">
        <f t="shared" si="15"/>
        <v>1</v>
      </c>
      <c r="M79" s="20">
        <f>SUM(I79:$I$87)</f>
        <v>189.55751550895221</v>
      </c>
      <c r="N79" s="20">
        <f>SUM(J79:$J$87)</f>
        <v>38.207736615036232</v>
      </c>
      <c r="O79" s="22">
        <f>IF(I79&lt;=0,0,(IF(A79&lt;$B$4,SUMPRODUCT(L79:$L$86,K79:$K$86),0)+베타후*(INDEX($M$16:$M$87,MAX(A79,$B$5)+1)-$M$87)-IF(A79&lt;=$B$5,$E$13*(N79-INDEX($N$16:$N$87,$B$5+1)),0))/I79)</f>
        <v>0.9655635644030357</v>
      </c>
      <c r="P79" s="6">
        <f t="shared" si="16"/>
        <v>96556</v>
      </c>
      <c r="Q79" s="7">
        <v>96556</v>
      </c>
      <c r="R79" s="6">
        <f t="shared" si="17"/>
        <v>0</v>
      </c>
    </row>
    <row r="80" spans="1:18" x14ac:dyDescent="0.45">
      <c r="A80">
        <v>64</v>
      </c>
      <c r="B80">
        <f t="shared" ref="B80:B111" si="20">가입나이+A80</f>
        <v>104</v>
      </c>
      <c r="C80" s="19">
        <f>INDEX(위험률!$B:$B,B80+2)</f>
        <v>0.47760000000000002</v>
      </c>
      <c r="D80" s="19">
        <f>INDEX(위험률!$C:$C,B80+2)</f>
        <v>8.7195999999999992E-3</v>
      </c>
      <c r="E80" s="19">
        <f>INDEX(위험률!$D:$D,B80+2)</f>
        <v>3.9640000000000002E-2</v>
      </c>
      <c r="F80" s="19">
        <f t="shared" ref="F80:F87" si="21">MIN(1,C80+D80-C80*D80/2)</f>
        <v>0.48423735952000002</v>
      </c>
      <c r="G80" s="20">
        <f t="shared" si="18"/>
        <v>245.41708933370975</v>
      </c>
      <c r="H80" s="20">
        <f t="shared" si="19"/>
        <v>48.986191693512929</v>
      </c>
      <c r="I80" s="20">
        <f t="shared" ref="I80:I87" si="22">G80*현가율^A80</f>
        <v>50.53327159249686</v>
      </c>
      <c r="J80" s="20">
        <f t="shared" ref="J80:J87" si="23">H80*현가율^A80</f>
        <v>10.086634699527359</v>
      </c>
      <c r="K80" s="20">
        <f t="shared" ref="K80:K87" si="24">G80*F80*현가율^(A80+0.5)</f>
        <v>24.169840031326338</v>
      </c>
      <c r="L80" s="21">
        <f t="shared" ref="L80:L87" si="25">IF(A80=0,$B$7,1)</f>
        <v>1</v>
      </c>
      <c r="M80" s="20">
        <f>SUM(I80:$I$87)</f>
        <v>93.712414089603527</v>
      </c>
      <c r="N80" s="20">
        <f>SUM(J80:$J$87)</f>
        <v>17.893025822080627</v>
      </c>
      <c r="O80" s="22">
        <f>IF(I80&lt;=0,0,(IF(A80&lt;$B$4,SUMPRODUCT(L80:$L$86,K80:$K$86),0)+베타후*(INDEX($M$16:$M$87,MAX(A80,$B$5)+1)-$M$87)-IF(A80&lt;=$B$5,$E$13*(N80-INDEX($N$16:$N$87,$B$5+1)),0))/I80)</f>
        <v>0.96848444429113301</v>
      </c>
      <c r="P80" s="6">
        <f t="shared" ref="P80:P111" si="26">ROUND(O80*100000,0)</f>
        <v>96848</v>
      </c>
      <c r="Q80" s="7">
        <v>96848</v>
      </c>
      <c r="R80" s="6">
        <f t="shared" ref="R80:R111" si="27">P80-Q80</f>
        <v>0</v>
      </c>
    </row>
    <row r="81" spans="1:18" x14ac:dyDescent="0.45">
      <c r="A81">
        <v>65</v>
      </c>
      <c r="B81">
        <f t="shared" si="20"/>
        <v>105</v>
      </c>
      <c r="C81" s="19">
        <f>INDEX(위험률!$B:$B,B81+2)</f>
        <v>0.53180000000000005</v>
      </c>
      <c r="D81" s="19">
        <f>INDEX(위험률!$C:$C,B81+2)</f>
        <v>9.3355999999999995E-3</v>
      </c>
      <c r="E81" s="19">
        <f>INDEX(위험률!$D:$D,B81+2)</f>
        <v>3.9149999999999997E-2</v>
      </c>
      <c r="F81" s="19">
        <f t="shared" si="21"/>
        <v>0.53865326396000002</v>
      </c>
      <c r="G81" s="20">
        <f t="shared" ref="G81:G87" si="28">G80*MAX(0,1-F80)</f>
        <v>126.57696601367019</v>
      </c>
      <c r="H81" s="20">
        <f t="shared" ref="H81:H87" si="29">H80*MAX(0,1-MIN(1,C80+(1-(1-D80)*(1-E80))-C80*(1-(1-D80)*(1-E80))/2))</f>
        <v>23.800028302907482</v>
      </c>
      <c r="I81" s="20">
        <f t="shared" si="22"/>
        <v>25.427486427940639</v>
      </c>
      <c r="J81" s="20">
        <f t="shared" si="23"/>
        <v>4.7810823384044836</v>
      </c>
      <c r="K81" s="20">
        <f t="shared" si="24"/>
        <v>13.528535769864842</v>
      </c>
      <c r="L81" s="21">
        <f t="shared" si="25"/>
        <v>1</v>
      </c>
      <c r="M81" s="20">
        <f>SUM(I81:$I$87)</f>
        <v>43.17914249710666</v>
      </c>
      <c r="N81" s="20">
        <f>SUM(J81:$J$87)</f>
        <v>7.8063911225532667</v>
      </c>
      <c r="O81" s="22">
        <f>IF(I81&lt;=0,0,(IF(A81&lt;$B$4,SUMPRODUCT(L81:$L$86,K81:$K$86),0)+베타후*(INDEX($M$16:$M$87,MAX(A81,$B$5)+1)-$M$87)-IF(A81&lt;=$B$5,$E$13*(N81-INDEX($N$16:$N$87,$B$5+1)),0))/I81)</f>
        <v>0.97218866770841361</v>
      </c>
      <c r="P81" s="6">
        <f t="shared" si="26"/>
        <v>97219</v>
      </c>
      <c r="Q81" s="7">
        <v>97219</v>
      </c>
      <c r="R81" s="6">
        <f t="shared" si="27"/>
        <v>0</v>
      </c>
    </row>
    <row r="82" spans="1:18" x14ac:dyDescent="0.45">
      <c r="A82">
        <v>66</v>
      </c>
      <c r="B82">
        <f t="shared" si="20"/>
        <v>106</v>
      </c>
      <c r="C82" s="19">
        <f>INDEX(위험률!$B:$B,B82+2)</f>
        <v>0.59279999999999999</v>
      </c>
      <c r="D82" s="19">
        <f>INDEX(위험률!$C:$C,B82+2)</f>
        <v>9.9545999999999992E-3</v>
      </c>
      <c r="E82" s="19">
        <f>INDEX(위험률!$D:$D,B82+2)</f>
        <v>3.9149999999999997E-2</v>
      </c>
      <c r="F82" s="19">
        <f t="shared" si="21"/>
        <v>0.59980405656000002</v>
      </c>
      <c r="G82" s="20">
        <f t="shared" si="28"/>
        <v>58.395870128252746</v>
      </c>
      <c r="H82" s="20">
        <f t="shared" si="29"/>
        <v>10.30243787813383</v>
      </c>
      <c r="I82" s="20">
        <f t="shared" si="22"/>
        <v>11.444768652909085</v>
      </c>
      <c r="J82" s="20">
        <f t="shared" si="23"/>
        <v>2.0191328225309415</v>
      </c>
      <c r="K82" s="20">
        <f t="shared" si="24"/>
        <v>6.780387024546596</v>
      </c>
      <c r="L82" s="21">
        <f t="shared" si="25"/>
        <v>1</v>
      </c>
      <c r="M82" s="20">
        <f>SUM(I82:$I$87)</f>
        <v>17.751656069166028</v>
      </c>
      <c r="N82" s="20">
        <f>SUM(J82:$J$87)</f>
        <v>3.0253087841487845</v>
      </c>
      <c r="O82" s="22">
        <f>IF(I82&lt;=0,0,(IF(A82&lt;$B$4,SUMPRODUCT(L82:$L$86,K82:$K$86),0)+베타후*(INDEX($M$16:$M$87,MAX(A82,$B$5)+1)-$M$87)-IF(A82&lt;=$B$5,$E$13*(N82-INDEX($N$16:$N$87,$B$5+1)),0))/I82)</f>
        <v>0.97567292410251405</v>
      </c>
      <c r="P82" s="6">
        <f t="shared" si="26"/>
        <v>97567</v>
      </c>
      <c r="Q82" s="7">
        <v>97567</v>
      </c>
      <c r="R82" s="6">
        <f t="shared" si="27"/>
        <v>0</v>
      </c>
    </row>
    <row r="83" spans="1:18" x14ac:dyDescent="0.45">
      <c r="A83">
        <v>67</v>
      </c>
      <c r="B83">
        <f t="shared" si="20"/>
        <v>107</v>
      </c>
      <c r="C83" s="19">
        <f>INDEX(위험률!$B:$B,B83+2)</f>
        <v>0.66290000000000004</v>
      </c>
      <c r="D83" s="19">
        <f>INDEX(위험률!$C:$C,B83+2)</f>
        <v>1.0563599999999999E-2</v>
      </c>
      <c r="E83" s="19">
        <f>INDEX(위험률!$D:$D,B83+2)</f>
        <v>3.9149999999999997E-2</v>
      </c>
      <c r="F83" s="19">
        <f t="shared" si="21"/>
        <v>0.66996229478000002</v>
      </c>
      <c r="G83" s="20">
        <f t="shared" si="28"/>
        <v>23.369790338975822</v>
      </c>
      <c r="H83" s="20">
        <f t="shared" si="29"/>
        <v>3.8420285300021684</v>
      </c>
      <c r="I83" s="20">
        <f t="shared" si="22"/>
        <v>4.4684390131741365</v>
      </c>
      <c r="J83" s="20">
        <f t="shared" si="23"/>
        <v>0.73461806563824517</v>
      </c>
      <c r="K83" s="20">
        <f t="shared" si="24"/>
        <v>2.9569519248551384</v>
      </c>
      <c r="L83" s="21">
        <f t="shared" si="25"/>
        <v>1</v>
      </c>
      <c r="M83" s="20">
        <f>SUM(I83:$I$87)</f>
        <v>6.3068874162569433</v>
      </c>
      <c r="N83" s="20">
        <f>SUM(J83:$J$87)</f>
        <v>1.0061759616178427</v>
      </c>
      <c r="O83" s="22">
        <f>IF(I83&lt;=0,0,(IF(A83&lt;$B$4,SUMPRODUCT(L83:$L$86,K83:$K$86),0)+베타후*(INDEX($M$16:$M$87,MAX(A83,$B$5)+1)-$M$87)-IF(A83&lt;=$B$5,$E$13*(N83-INDEX($N$16:$N$87,$B$5+1)),0))/I83)</f>
        <v>0.97898149469285756</v>
      </c>
      <c r="P83" s="6">
        <f t="shared" si="26"/>
        <v>97898</v>
      </c>
      <c r="Q83" s="7">
        <v>97898</v>
      </c>
      <c r="R83" s="6">
        <f t="shared" si="27"/>
        <v>0</v>
      </c>
    </row>
    <row r="84" spans="1:18" x14ac:dyDescent="0.45">
      <c r="A84">
        <v>68</v>
      </c>
      <c r="B84">
        <f t="shared" si="20"/>
        <v>108</v>
      </c>
      <c r="C84" s="19">
        <f>INDEX(위험률!$B:$B,B84+2)</f>
        <v>0.74490000000000001</v>
      </c>
      <c r="D84" s="19">
        <f>INDEX(위험률!$C:$C,B84+2)</f>
        <v>1.11536E-2</v>
      </c>
      <c r="E84" s="19">
        <f>INDEX(위험률!$D:$D,B84+2)</f>
        <v>3.9149999999999997E-2</v>
      </c>
      <c r="F84" s="19">
        <f t="shared" si="21"/>
        <v>0.75189944168</v>
      </c>
      <c r="G84" s="20">
        <f t="shared" si="28"/>
        <v>7.7129119749481054</v>
      </c>
      <c r="H84" s="20">
        <f t="shared" si="29"/>
        <v>1.1685163304439947</v>
      </c>
      <c r="I84" s="20">
        <f t="shared" si="22"/>
        <v>1.4387837637302567</v>
      </c>
      <c r="J84" s="20">
        <f t="shared" si="23"/>
        <v>0.21797763663804695</v>
      </c>
      <c r="K84" s="20">
        <f t="shared" si="24"/>
        <v>1.0685463321991051</v>
      </c>
      <c r="L84" s="21">
        <f t="shared" si="25"/>
        <v>1</v>
      </c>
      <c r="M84" s="20">
        <f>SUM(I84:$I$87)</f>
        <v>1.8384484030828065</v>
      </c>
      <c r="N84" s="20">
        <f>SUM(J84:$J$87)</f>
        <v>0.27155789597959745</v>
      </c>
      <c r="O84" s="22">
        <f>IF(I84&lt;=0,0,(IF(A84&lt;$B$4,SUMPRODUCT(L84:$L$86,K84:$K$86),0)+베타후*(INDEX($M$16:$M$87,MAX(A84,$B$5)+1)-$M$87)-IF(A84&lt;=$B$5,$E$13*(N84-INDEX($N$16:$N$87,$B$5+1)),0))/I84)</f>
        <v>0.98214810023232113</v>
      </c>
      <c r="P84" s="6">
        <f t="shared" si="26"/>
        <v>98215</v>
      </c>
      <c r="Q84" s="7">
        <v>98215</v>
      </c>
      <c r="R84" s="6">
        <f t="shared" si="27"/>
        <v>0</v>
      </c>
    </row>
    <row r="85" spans="1:18" x14ac:dyDescent="0.45">
      <c r="A85">
        <v>69</v>
      </c>
      <c r="B85">
        <f t="shared" si="20"/>
        <v>109</v>
      </c>
      <c r="C85" s="19">
        <f>INDEX(위험률!$B:$B,B85+2)</f>
        <v>0.84189999999999998</v>
      </c>
      <c r="D85" s="19">
        <f>INDEX(위험률!$C:$C,B85+2)</f>
        <v>1.17336E-2</v>
      </c>
      <c r="E85" s="19">
        <f>INDEX(위험률!$D:$D,B85+2)</f>
        <v>3.9149999999999997E-2</v>
      </c>
      <c r="F85" s="19">
        <f t="shared" si="21"/>
        <v>0.84869434107999997</v>
      </c>
      <c r="G85" s="20">
        <f t="shared" si="28"/>
        <v>1.9135777672576388</v>
      </c>
      <c r="H85" s="20">
        <f t="shared" si="29"/>
        <v>0.26152097048074391</v>
      </c>
      <c r="I85" s="20">
        <f t="shared" si="22"/>
        <v>0.34825663910558802</v>
      </c>
      <c r="J85" s="20">
        <f t="shared" si="23"/>
        <v>4.7594832984382857E-2</v>
      </c>
      <c r="K85" s="20">
        <f t="shared" si="24"/>
        <v>0.29193675624209892</v>
      </c>
      <c r="L85" s="21">
        <f t="shared" si="25"/>
        <v>1</v>
      </c>
      <c r="M85" s="20">
        <f>SUM(I85:$I$87)</f>
        <v>0.39966463935254964</v>
      </c>
      <c r="N85" s="20">
        <f>SUM(J85:$J$87)</f>
        <v>5.3580259341550515E-2</v>
      </c>
      <c r="O85" s="22">
        <f>IF(I85&lt;=0,0,(IF(A85&lt;$B$4,SUMPRODUCT(L85:$L$86,K85:$K$86),0)+베타후*(INDEX($M$16:$M$87,MAX(A85,$B$5)+1)-$M$87)-IF(A85&lt;=$B$5,$E$13*(N85-INDEX($N$16:$N$87,$B$5+1)),0))/I85)</f>
        <v>0.9852321124764436</v>
      </c>
      <c r="P85" s="6">
        <f t="shared" si="26"/>
        <v>98523</v>
      </c>
      <c r="Q85" s="7">
        <v>98523</v>
      </c>
      <c r="R85" s="6">
        <f t="shared" si="27"/>
        <v>0</v>
      </c>
    </row>
    <row r="86" spans="1:18" x14ac:dyDescent="0.45">
      <c r="A86">
        <v>70</v>
      </c>
      <c r="B86">
        <f t="shared" si="20"/>
        <v>110</v>
      </c>
      <c r="C86" s="19">
        <f>INDEX(위험률!$B:$B,B86+2)</f>
        <v>1</v>
      </c>
      <c r="D86" s="19">
        <f>INDEX(위험률!$C:$C,B86+2)</f>
        <v>1.17336E-2</v>
      </c>
      <c r="E86" s="19">
        <f>INDEX(위험률!$D:$D,B86+2)</f>
        <v>3.9149999999999997E-2</v>
      </c>
      <c r="F86" s="19">
        <f t="shared" si="21"/>
        <v>1</v>
      </c>
      <c r="G86" s="20">
        <f t="shared" si="28"/>
        <v>0.28953514496957949</v>
      </c>
      <c r="H86" s="20">
        <f t="shared" si="29"/>
        <v>3.3710536875623871E-2</v>
      </c>
      <c r="I86" s="20">
        <f t="shared" si="22"/>
        <v>5.1408000246961613E-2</v>
      </c>
      <c r="J86" s="20">
        <f t="shared" si="23"/>
        <v>5.9854263571676603E-3</v>
      </c>
      <c r="K86" s="20">
        <f t="shared" si="24"/>
        <v>5.0777203348493477E-2</v>
      </c>
      <c r="L86" s="21">
        <f t="shared" si="25"/>
        <v>1</v>
      </c>
      <c r="M86" s="20">
        <f>SUM(I86:$I$87)</f>
        <v>5.1408000246961613E-2</v>
      </c>
      <c r="N86" s="20">
        <f>SUM(J86:$J$87)</f>
        <v>5.9854263571676603E-3</v>
      </c>
      <c r="O86" s="22">
        <f>IF(I86&lt;=0,0,(IF(A86&lt;$B$4,SUMPRODUCT(L86:$L$86,K86:$K$86),0)+베타후*(INDEX($M$16:$M$87,MAX(A86,$B$5)+1)-$M$87)-IF(A86&lt;=$B$5,$E$13*(N86-INDEX($N$16:$N$87,$B$5+1)),0))/I86)</f>
        <v>0.98872959664959126</v>
      </c>
      <c r="P86" s="6">
        <f t="shared" si="26"/>
        <v>98873</v>
      </c>
      <c r="Q86" s="7">
        <v>98873</v>
      </c>
      <c r="R86" s="6">
        <f t="shared" si="27"/>
        <v>0</v>
      </c>
    </row>
    <row r="87" spans="1:18" x14ac:dyDescent="0.45">
      <c r="A87">
        <v>71</v>
      </c>
      <c r="B87">
        <f t="shared" si="20"/>
        <v>111</v>
      </c>
      <c r="C87" s="19">
        <f>INDEX(위험률!$B:$B,B87+2)</f>
        <v>0</v>
      </c>
      <c r="D87" s="19">
        <f>INDEX(위험률!$C:$C,B87+2)</f>
        <v>0</v>
      </c>
      <c r="E87" s="19">
        <f>INDEX(위험률!$D:$D,B87+2)</f>
        <v>0</v>
      </c>
      <c r="F87" s="19">
        <f t="shared" si="21"/>
        <v>0</v>
      </c>
      <c r="G87" s="20">
        <f t="shared" si="28"/>
        <v>0</v>
      </c>
      <c r="H87" s="20">
        <f t="shared" si="29"/>
        <v>0</v>
      </c>
      <c r="I87" s="20">
        <f t="shared" si="22"/>
        <v>0</v>
      </c>
      <c r="J87" s="20">
        <f t="shared" si="23"/>
        <v>0</v>
      </c>
      <c r="K87" s="20">
        <f t="shared" si="24"/>
        <v>0</v>
      </c>
      <c r="L87" s="21">
        <f t="shared" si="25"/>
        <v>1</v>
      </c>
      <c r="M87" s="20">
        <f>SUM(I87:$I$87)</f>
        <v>0</v>
      </c>
      <c r="N87" s="20">
        <f>SUM(J87:$J$87)</f>
        <v>0</v>
      </c>
      <c r="O87" s="22">
        <f>IF(I87&lt;=0,0,(IF(A87&lt;$B$4,SUMPRODUCT(L$86:$L87,K$86:$K87),0)+베타후*(INDEX($M$16:$M$87,MAX(A87,$B$5)+1)-$M$87)-IF(A87&lt;=$B$5,$E$13*(N87-INDEX($N$16:$N$87,$B$5+1)),0))/I87)</f>
        <v>0</v>
      </c>
      <c r="P87" s="6">
        <f t="shared" si="26"/>
        <v>0</v>
      </c>
      <c r="Q87" s="7">
        <v>0</v>
      </c>
      <c r="R87" s="6">
        <f t="shared" si="27"/>
        <v>0</v>
      </c>
    </row>
  </sheetData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76"/>
  <sheetViews>
    <sheetView workbookViewId="0">
      <pane xSplit="2" ySplit="15" topLeftCell="C16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5" customWidth="1"/>
    <col min="2" max="2" width="6" customWidth="1"/>
    <col min="3" max="3" width="11" customWidth="1"/>
    <col min="4" max="4" width="34" customWidth="1"/>
    <col min="5" max="6" width="16" customWidth="1"/>
    <col min="7" max="11" width="12" customWidth="1"/>
    <col min="12" max="12" width="6" customWidth="1"/>
    <col min="13" max="14" width="13" customWidth="1"/>
    <col min="15" max="15" width="12" customWidth="1"/>
    <col min="16" max="17" width="11" customWidth="1"/>
    <col min="18" max="18" width="7" customWidth="1"/>
  </cols>
  <sheetData>
    <row r="1" spans="1:18" x14ac:dyDescent="0.45">
      <c r="A1" s="14" t="s">
        <v>18</v>
      </c>
      <c r="B1" t="s">
        <v>120</v>
      </c>
      <c r="D1" s="11" t="s">
        <v>34</v>
      </c>
      <c r="E1" s="11" t="s">
        <v>77</v>
      </c>
      <c r="F1" s="11" t="s">
        <v>78</v>
      </c>
      <c r="G1" s="11" t="s">
        <v>28</v>
      </c>
    </row>
    <row r="2" spans="1:18" x14ac:dyDescent="0.45">
      <c r="A2" s="14" t="s">
        <v>79</v>
      </c>
      <c r="B2" s="12">
        <v>50000000</v>
      </c>
      <c r="D2" t="s">
        <v>80</v>
      </c>
      <c r="E2" s="15">
        <f>SUMPRODUCT($L$16:$L$75,$K$16:$K$75)</f>
        <v>21798.299750004211</v>
      </c>
      <c r="F2" s="16">
        <v>21798.299750004211</v>
      </c>
      <c r="G2" s="17">
        <f>E2-F2</f>
        <v>0</v>
      </c>
    </row>
    <row r="3" spans="1:18" x14ac:dyDescent="0.45">
      <c r="A3" s="14" t="s">
        <v>81</v>
      </c>
      <c r="B3" s="12">
        <v>100</v>
      </c>
      <c r="D3" t="s">
        <v>82</v>
      </c>
      <c r="E3" s="15">
        <f>납입주기*(($N$16-INDEX($N$16:$N$76,B5+1))-(납입주기-1)/(2*납입주기)*($J$16-INDEX($J$16:$J$76,B5+1)))</f>
        <v>18049366.356479976</v>
      </c>
      <c r="F3" s="16">
        <v>18049366.356479991</v>
      </c>
      <c r="G3" s="17">
        <f>E3-F3</f>
        <v>0</v>
      </c>
    </row>
    <row r="4" spans="1:18" x14ac:dyDescent="0.45">
      <c r="A4" s="14" t="s">
        <v>83</v>
      </c>
      <c r="B4">
        <f>MIN(보험기간,IF(B3&gt;=110,B3+1,B3)-가입나이)</f>
        <v>60</v>
      </c>
      <c r="D4" t="s">
        <v>84</v>
      </c>
      <c r="E4" s="15">
        <f>E2/E3</f>
        <v>1.2077044323596609E-3</v>
      </c>
      <c r="F4" s="16">
        <v>1.20770443235966E-3</v>
      </c>
      <c r="G4" s="17">
        <f>E4-F4</f>
        <v>0</v>
      </c>
    </row>
    <row r="5" spans="1:18" x14ac:dyDescent="0.45">
      <c r="A5" s="14" t="s">
        <v>85</v>
      </c>
      <c r="B5">
        <f>MIN(납입기간,B4)</f>
        <v>20</v>
      </c>
      <c r="D5" t="s">
        <v>86</v>
      </c>
      <c r="E5" s="15">
        <f>E2/($N$16-INDEX($N$16:$N$76,MIN(B4,20)+1))</f>
        <v>1.4286497784594947E-2</v>
      </c>
      <c r="F5" s="16">
        <v>1.428649778459494E-2</v>
      </c>
      <c r="G5" s="17">
        <f>E5-F5</f>
        <v>0</v>
      </c>
    </row>
    <row r="6" spans="1:18" x14ac:dyDescent="0.45">
      <c r="A6" s="14" t="s">
        <v>87</v>
      </c>
      <c r="B6" s="12">
        <v>3</v>
      </c>
      <c r="D6" t="s">
        <v>88</v>
      </c>
      <c r="E6" s="15">
        <f>알파P*MIN(B4,20)/20</f>
        <v>1</v>
      </c>
      <c r="F6" s="15"/>
      <c r="G6" s="17"/>
    </row>
    <row r="7" spans="1:18" x14ac:dyDescent="0.45">
      <c r="A7" s="14" t="s">
        <v>89</v>
      </c>
      <c r="B7">
        <f>MAX(0,1-B6/12)</f>
        <v>0.75</v>
      </c>
      <c r="D7" t="s">
        <v>90</v>
      </c>
      <c r="E7" s="15">
        <f>(알파S+E6*E5)*$J$16/E3</f>
        <v>1.3455595783768749E-4</v>
      </c>
      <c r="F7" s="15"/>
      <c r="G7" s="17"/>
    </row>
    <row r="8" spans="1:18" x14ac:dyDescent="0.45">
      <c r="A8" s="14" t="s">
        <v>91</v>
      </c>
      <c r="B8" t="s">
        <v>121</v>
      </c>
      <c r="D8" t="s">
        <v>93</v>
      </c>
      <c r="E8" s="15">
        <f>베타S/납입주기</f>
        <v>1.25E-4</v>
      </c>
      <c r="F8" s="15"/>
      <c r="G8" s="17"/>
    </row>
    <row r="9" spans="1:18" x14ac:dyDescent="0.45">
      <c r="A9" s="14" t="s">
        <v>94</v>
      </c>
      <c r="B9" t="s">
        <v>122</v>
      </c>
      <c r="D9" t="s">
        <v>96</v>
      </c>
      <c r="E9" s="15">
        <f>베타후*(INDEX($M$16:$M$76,B5+1)-$M$76)/E3</f>
        <v>4.3595122479621265E-5</v>
      </c>
      <c r="F9" s="15"/>
      <c r="G9" s="17"/>
    </row>
    <row r="10" spans="1:18" x14ac:dyDescent="0.45">
      <c r="A10" s="14" t="s">
        <v>97</v>
      </c>
      <c r="B10" t="s">
        <v>123</v>
      </c>
      <c r="D10" t="s">
        <v>99</v>
      </c>
      <c r="E10" s="15">
        <f>(E4+E7+E8+E9)/(1-베타G-감마)</f>
        <v>1.6245758200827635E-3</v>
      </c>
      <c r="F10" s="16">
        <v>1.624575820082762E-3</v>
      </c>
      <c r="G10" s="17">
        <f>E10-F10</f>
        <v>0</v>
      </c>
    </row>
    <row r="11" spans="1:18" x14ac:dyDescent="0.45">
      <c r="D11" t="s">
        <v>100</v>
      </c>
      <c r="E11" s="6">
        <f>ROUND(ROUND(E10,6)*100000,0)</f>
        <v>163</v>
      </c>
      <c r="F11" s="7">
        <v>163</v>
      </c>
      <c r="G11" s="17">
        <f>E11-F11</f>
        <v>0</v>
      </c>
    </row>
    <row r="12" spans="1:18" x14ac:dyDescent="0.45">
      <c r="D12" t="s">
        <v>101</v>
      </c>
      <c r="E12" s="6">
        <f>E11*B2/100000</f>
        <v>81500</v>
      </c>
      <c r="F12" s="7">
        <v>81500</v>
      </c>
      <c r="G12" s="17">
        <f>E12-F12</f>
        <v>0</v>
      </c>
    </row>
    <row r="13" spans="1:18" x14ac:dyDescent="0.45">
      <c r="D13" t="s">
        <v>102</v>
      </c>
      <c r="E13" s="15">
        <f>(E2+베타후*(INDEX($M$16:$M$76,B5+1)-$M$76))/($N$16-INDEX($N$16:$N$76,B5+1))</f>
        <v>1.4802204777163782E-2</v>
      </c>
      <c r="F13" s="16">
        <v>1.480220477716377E-2</v>
      </c>
      <c r="G13" s="17">
        <f>E13-F13</f>
        <v>0</v>
      </c>
    </row>
    <row r="15" spans="1:18" ht="34" x14ac:dyDescent="0.45">
      <c r="A15" s="2" t="s">
        <v>103</v>
      </c>
      <c r="B15" s="2" t="s">
        <v>104</v>
      </c>
      <c r="C15" s="2" t="s">
        <v>105</v>
      </c>
      <c r="D15" s="2" t="s">
        <v>124</v>
      </c>
      <c r="E15" s="2" t="s">
        <v>125</v>
      </c>
      <c r="F15" s="2" t="s">
        <v>108</v>
      </c>
      <c r="G15" s="2" t="s">
        <v>109</v>
      </c>
      <c r="H15" s="2" t="s">
        <v>110</v>
      </c>
      <c r="I15" s="2" t="s">
        <v>111</v>
      </c>
      <c r="J15" s="2" t="s">
        <v>112</v>
      </c>
      <c r="K15" s="2" t="s">
        <v>113</v>
      </c>
      <c r="L15" s="2" t="s">
        <v>114</v>
      </c>
      <c r="M15" s="2" t="s">
        <v>115</v>
      </c>
      <c r="N15" s="2" t="s">
        <v>116</v>
      </c>
      <c r="O15" s="2" t="s">
        <v>117</v>
      </c>
      <c r="P15" s="2" t="s">
        <v>118</v>
      </c>
      <c r="Q15" s="18" t="s">
        <v>119</v>
      </c>
      <c r="R15" s="2" t="s">
        <v>28</v>
      </c>
    </row>
    <row r="16" spans="1:18" x14ac:dyDescent="0.45">
      <c r="A16">
        <v>0</v>
      </c>
      <c r="B16">
        <f t="shared" ref="B16:B47" si="0">가입나이+A16</f>
        <v>40</v>
      </c>
      <c r="C16" s="19">
        <f>INDEX(위험률!$B:$B,B16+2)</f>
        <v>8.9990000000000003E-4</v>
      </c>
      <c r="D16" s="19">
        <f>INDEX(위험률!$D:$D,B16+2)</f>
        <v>2.6570000000000001E-3</v>
      </c>
      <c r="E16" s="19">
        <f>INDEX(위험률!$C:$C,B16+2)</f>
        <v>1.44E-4</v>
      </c>
      <c r="F16" s="19">
        <f t="shared" ref="F16:F47" si="1">MIN(1,C16+D16-C16*D16/2)</f>
        <v>3.5557044828499998E-3</v>
      </c>
      <c r="G16" s="20">
        <v>100000</v>
      </c>
      <c r="H16" s="20">
        <v>100000</v>
      </c>
      <c r="I16" s="20">
        <f t="shared" ref="I16:I47" si="2">G16*현가율^A16</f>
        <v>100000</v>
      </c>
      <c r="J16" s="20">
        <f t="shared" ref="J16:J47" si="3">H16*현가율^A16</f>
        <v>100000</v>
      </c>
      <c r="K16" s="20">
        <f t="shared" ref="K16:K47" si="4">G16*D16*현가율^(A16+0.5)</f>
        <v>262.43975382979596</v>
      </c>
      <c r="L16" s="21">
        <f t="shared" ref="L16:L47" si="5">IF(A16=0,$B$7,1)</f>
        <v>0.75</v>
      </c>
      <c r="M16" s="20">
        <f>SUM(I16:$I$76)</f>
        <v>2315836.1938579204</v>
      </c>
      <c r="N16" s="20">
        <f>SUM(J16:$J$76)</f>
        <v>2301433.6893895944</v>
      </c>
      <c r="O16" s="22">
        <f>IF(I16&lt;=0,0,(IF(A16&lt;$B$4,SUMPRODUCT(L16:$L$75,K16:$K$75),0)+베타후*(INDEX($M$16:$M$76,MAX(A16,$B$5)+1)-$M$76)-IF(A16&lt;=$B$5,$E$13*(N16-INDEX($N$16:$N$76,$B$5+1)),0))/I16)</f>
        <v>0</v>
      </c>
      <c r="P16" s="6">
        <f t="shared" ref="P16:P47" si="6">ROUND(O16*100000,0)</f>
        <v>0</v>
      </c>
      <c r="Q16" s="7">
        <v>0</v>
      </c>
      <c r="R16" s="6">
        <f t="shared" ref="R16:R47" si="7">P16-Q16</f>
        <v>0</v>
      </c>
    </row>
    <row r="17" spans="1:18" x14ac:dyDescent="0.45">
      <c r="A17">
        <v>1</v>
      </c>
      <c r="B17">
        <f t="shared" si="0"/>
        <v>41</v>
      </c>
      <c r="C17" s="19">
        <f>INDEX(위험률!$B:$B,B17+2)</f>
        <v>9.7729999999999996E-4</v>
      </c>
      <c r="D17" s="19">
        <f>INDEX(위험률!$D:$D,B17+2)</f>
        <v>2.7629999999999998E-3</v>
      </c>
      <c r="E17" s="19">
        <f>INDEX(위험률!$C:$C,B17+2)</f>
        <v>1.5683E-4</v>
      </c>
      <c r="F17" s="19">
        <f t="shared" si="1"/>
        <v>3.7389498600499996E-3</v>
      </c>
      <c r="G17" s="20">
        <f t="shared" ref="G17:G48" si="8">G16*MAX(0,1-F16)</f>
        <v>99644.429551715002</v>
      </c>
      <c r="H17" s="20">
        <f t="shared" ref="H17:H48" si="9">H16*MAX(0,1-MIN(1,C16+(1-(1-D16)*(1-E16))-C16*(1-(1-D16)*(1-E16))/2))</f>
        <v>99630.074274579543</v>
      </c>
      <c r="I17" s="20">
        <f t="shared" si="2"/>
        <v>97214.077611429282</v>
      </c>
      <c r="J17" s="20">
        <f t="shared" si="3"/>
        <v>97200.072463004442</v>
      </c>
      <c r="K17" s="20">
        <f t="shared" si="4"/>
        <v>265.30663546812849</v>
      </c>
      <c r="L17" s="21">
        <f t="shared" si="5"/>
        <v>1</v>
      </c>
      <c r="M17" s="20">
        <f>SUM(I17:$I$76)</f>
        <v>2215836.1938579204</v>
      </c>
      <c r="N17" s="20">
        <f>SUM(J17:$J$76)</f>
        <v>2201433.6893895944</v>
      </c>
      <c r="O17" s="22">
        <f>IF(I17&lt;=0,0,(IF(A17&lt;$B$4,SUMPRODUCT(L17:$L$75,K17:$K$75),0)+베타후*(INDEX($M$16:$M$76,MAX(A17,$B$5)+1)-$M$76)-IF(A17&lt;=$B$5,$E$13*(N17-INDEX($N$16:$N$76,$B$5+1)),0))/I17)</f>
        <v>1.3201695617314017E-2</v>
      </c>
      <c r="P17" s="6">
        <f t="shared" si="6"/>
        <v>1320</v>
      </c>
      <c r="Q17" s="7">
        <v>1320</v>
      </c>
      <c r="R17" s="6">
        <f t="shared" si="7"/>
        <v>0</v>
      </c>
    </row>
    <row r="18" spans="1:18" x14ac:dyDescent="0.45">
      <c r="A18">
        <v>2</v>
      </c>
      <c r="B18">
        <f t="shared" si="0"/>
        <v>42</v>
      </c>
      <c r="C18" s="19">
        <f>INDEX(위험률!$B:$B,B18+2)</f>
        <v>1.08E-3</v>
      </c>
      <c r="D18" s="19">
        <f>INDEX(위험률!$D:$D,B18+2)</f>
        <v>2.846E-3</v>
      </c>
      <c r="E18" s="19">
        <f>INDEX(위험률!$C:$C,B18+2)</f>
        <v>1.7003E-4</v>
      </c>
      <c r="F18" s="19">
        <f t="shared" si="1"/>
        <v>3.9244631599999998E-3</v>
      </c>
      <c r="G18" s="20">
        <f t="shared" si="8"/>
        <v>99271.864025787858</v>
      </c>
      <c r="H18" s="20">
        <f t="shared" si="9"/>
        <v>99241.988223650449</v>
      </c>
      <c r="I18" s="20">
        <f t="shared" si="2"/>
        <v>94488.389316633315</v>
      </c>
      <c r="J18" s="20">
        <f t="shared" si="3"/>
        <v>94459.953098061116</v>
      </c>
      <c r="K18" s="20">
        <f t="shared" si="4"/>
        <v>265.61427328852358</v>
      </c>
      <c r="L18" s="21">
        <f t="shared" si="5"/>
        <v>1</v>
      </c>
      <c r="M18" s="20">
        <f>SUM(I18:$I$76)</f>
        <v>2118622.1162464917</v>
      </c>
      <c r="N18" s="20">
        <f>SUM(J18:$J$76)</f>
        <v>2104233.6169265895</v>
      </c>
      <c r="O18" s="22">
        <f>IF(I18&lt;=0,0,(IF(A18&lt;$B$4,SUMPRODUCT(L18:$L$75,K18:$K$75),0)+베타후*(INDEX($M$16:$M$76,MAX(A18,$B$5)+1)-$M$76)-IF(A18&lt;=$B$5,$E$13*(N18-INDEX($N$16:$N$76,$B$5+1)),0))/I18)</f>
        <v>2.6001706893271834E-2</v>
      </c>
      <c r="P18" s="6">
        <f t="shared" si="6"/>
        <v>2600</v>
      </c>
      <c r="Q18" s="7">
        <v>2600</v>
      </c>
      <c r="R18" s="6">
        <f t="shared" si="7"/>
        <v>0</v>
      </c>
    </row>
    <row r="19" spans="1:18" x14ac:dyDescent="0.45">
      <c r="A19">
        <v>3</v>
      </c>
      <c r="B19">
        <f t="shared" si="0"/>
        <v>43</v>
      </c>
      <c r="C19" s="19">
        <f>INDEX(위험률!$B:$B,B19+2)</f>
        <v>1.1969999999999999E-3</v>
      </c>
      <c r="D19" s="19">
        <f>INDEX(위험률!$D:$D,B19+2)</f>
        <v>2.9020000000000001E-3</v>
      </c>
      <c r="E19" s="19">
        <f>INDEX(위험률!$C:$C,B19+2)</f>
        <v>1.8623000000000001E-4</v>
      </c>
      <c r="F19" s="19">
        <f t="shared" si="1"/>
        <v>4.0972631530000001E-3</v>
      </c>
      <c r="G19" s="20">
        <f t="shared" si="8"/>
        <v>98882.275252594132</v>
      </c>
      <c r="H19" s="20">
        <f t="shared" si="9"/>
        <v>98835.699691505346</v>
      </c>
      <c r="I19" s="20">
        <f t="shared" si="2"/>
        <v>91822.022549963382</v>
      </c>
      <c r="J19" s="20">
        <f t="shared" si="3"/>
        <v>91778.772511373085</v>
      </c>
      <c r="K19" s="20">
        <f t="shared" si="4"/>
        <v>263.19784561938576</v>
      </c>
      <c r="L19" s="21">
        <f t="shared" si="5"/>
        <v>1</v>
      </c>
      <c r="M19" s="20">
        <f>SUM(I19:$I$76)</f>
        <v>2024133.7269298583</v>
      </c>
      <c r="N19" s="20">
        <f>SUM(J19:$J$76)</f>
        <v>2009773.6638285294</v>
      </c>
      <c r="O19" s="22">
        <f>IF(I19&lt;=0,0,(IF(A19&lt;$B$4,SUMPRODUCT(L19:$L$75,K19:$K$75),0)+베타후*(INDEX($M$16:$M$76,MAX(A19,$B$5)+1)-$M$76)-IF(A19&lt;=$B$5,$E$13*(N19-INDEX($N$16:$N$76,$B$5+1)),0))/I19)</f>
        <v>3.9091501143808542E-2</v>
      </c>
      <c r="P19" s="6">
        <f t="shared" si="6"/>
        <v>3909</v>
      </c>
      <c r="Q19" s="7">
        <v>3909</v>
      </c>
      <c r="R19" s="6">
        <f t="shared" si="7"/>
        <v>0</v>
      </c>
    </row>
    <row r="20" spans="1:18" x14ac:dyDescent="0.45">
      <c r="A20">
        <v>4</v>
      </c>
      <c r="B20">
        <f t="shared" si="0"/>
        <v>44</v>
      </c>
      <c r="C20" s="19">
        <f>INDEX(위험률!$B:$B,B20+2)</f>
        <v>1.3389999999999999E-3</v>
      </c>
      <c r="D20" s="19">
        <f>INDEX(위험률!$D:$D,B20+2)</f>
        <v>2.944E-3</v>
      </c>
      <c r="E20" s="19">
        <f>INDEX(위험률!$C:$C,B20+2)</f>
        <v>2.0542999999999999E-4</v>
      </c>
      <c r="F20" s="19">
        <f t="shared" si="1"/>
        <v>4.2810289920000005E-3</v>
      </c>
      <c r="G20" s="20">
        <f t="shared" si="8"/>
        <v>98477.128549716872</v>
      </c>
      <c r="H20" s="20">
        <f t="shared" si="9"/>
        <v>98412.402047442447</v>
      </c>
      <c r="I20" s="20">
        <f t="shared" si="2"/>
        <v>89215.418107644364</v>
      </c>
      <c r="J20" s="20">
        <f t="shared" si="3"/>
        <v>89156.779091173215</v>
      </c>
      <c r="K20" s="20">
        <f t="shared" si="4"/>
        <v>259.42736712639049</v>
      </c>
      <c r="L20" s="21">
        <f t="shared" si="5"/>
        <v>1</v>
      </c>
      <c r="M20" s="20">
        <f>SUM(I20:$I$76)</f>
        <v>1932311.7043798948</v>
      </c>
      <c r="N20" s="20">
        <f>SUM(J20:$J$76)</f>
        <v>1917994.8913171561</v>
      </c>
      <c r="O20" s="22">
        <f>IF(I20&lt;=0,0,(IF(A20&lt;$B$4,SUMPRODUCT(L20:$L$75,K20:$K$75),0)+베타후*(INDEX($M$16:$M$76,MAX(A20,$B$5)+1)-$M$76)-IF(A20&lt;=$B$5,$E$13*(N20-INDEX($N$16:$N$76,$B$5+1)),0))/I20)</f>
        <v>5.2511002450012431E-2</v>
      </c>
      <c r="P20" s="6">
        <f t="shared" si="6"/>
        <v>5251</v>
      </c>
      <c r="Q20" s="7">
        <v>5251</v>
      </c>
      <c r="R20" s="6">
        <f t="shared" si="7"/>
        <v>0</v>
      </c>
    </row>
    <row r="21" spans="1:18" x14ac:dyDescent="0.45">
      <c r="A21">
        <v>5</v>
      </c>
      <c r="B21">
        <f t="shared" si="0"/>
        <v>45</v>
      </c>
      <c r="C21" s="19">
        <f>INDEX(위험률!$B:$B,B21+2)</f>
        <v>1.498E-3</v>
      </c>
      <c r="D21" s="19">
        <f>INDEX(위험률!$D:$D,B21+2)</f>
        <v>2.9910000000000002E-3</v>
      </c>
      <c r="E21" s="19">
        <f>INDEX(위험률!$C:$C,B21+2)</f>
        <v>2.3112999999999999E-4</v>
      </c>
      <c r="F21" s="19">
        <f t="shared" si="1"/>
        <v>4.486759741E-3</v>
      </c>
      <c r="G21" s="20">
        <f t="shared" si="8"/>
        <v>98055.545107346625</v>
      </c>
      <c r="H21" s="20">
        <f t="shared" si="9"/>
        <v>97970.95185512751</v>
      </c>
      <c r="I21" s="20">
        <f t="shared" si="2"/>
        <v>86666.813967016729</v>
      </c>
      <c r="J21" s="20">
        <f t="shared" si="3"/>
        <v>86592.045858340032</v>
      </c>
      <c r="K21" s="20">
        <f t="shared" si="4"/>
        <v>256.03970121281645</v>
      </c>
      <c r="L21" s="21">
        <f t="shared" si="5"/>
        <v>1</v>
      </c>
      <c r="M21" s="20">
        <f>SUM(I21:$I$76)</f>
        <v>1843096.2862722501</v>
      </c>
      <c r="N21" s="20">
        <f>SUM(J21:$J$76)</f>
        <v>1828838.1122259828</v>
      </c>
      <c r="O21" s="22">
        <f>IF(I21&lt;=0,0,(IF(A21&lt;$B$4,SUMPRODUCT(L21:$L$75,K21:$K$75),0)+베타후*(INDEX($M$16:$M$76,MAX(A21,$B$5)+1)-$M$76)-IF(A21&lt;=$B$5,$E$13*(N21-INDEX($N$16:$N$76,$B$5+1)),0))/I21)</f>
        <v>6.6289278561334278E-2</v>
      </c>
      <c r="P21" s="6">
        <f t="shared" si="6"/>
        <v>6629</v>
      </c>
      <c r="Q21" s="7">
        <v>6629</v>
      </c>
      <c r="R21" s="6">
        <f t="shared" si="7"/>
        <v>0</v>
      </c>
    </row>
    <row r="22" spans="1:18" x14ac:dyDescent="0.45">
      <c r="A22">
        <v>6</v>
      </c>
      <c r="B22">
        <f t="shared" si="0"/>
        <v>46</v>
      </c>
      <c r="C22" s="19">
        <f>INDEX(위험률!$B:$B,B22+2)</f>
        <v>1.658E-3</v>
      </c>
      <c r="D22" s="19">
        <f>INDEX(위험률!$D:$D,B22+2)</f>
        <v>3.0720000000000001E-3</v>
      </c>
      <c r="E22" s="19">
        <f>INDEX(위험률!$C:$C,B22+2)</f>
        <v>2.6092999999999998E-4</v>
      </c>
      <c r="F22" s="19">
        <f t="shared" si="1"/>
        <v>4.727453312E-3</v>
      </c>
      <c r="G22" s="20">
        <f t="shared" si="8"/>
        <v>97615.593435177172</v>
      </c>
      <c r="H22" s="20">
        <f t="shared" si="9"/>
        <v>97508.820344383348</v>
      </c>
      <c r="I22" s="20">
        <f t="shared" si="2"/>
        <v>84173.620288028091</v>
      </c>
      <c r="J22" s="20">
        <f t="shared" si="3"/>
        <v>84081.550186467663</v>
      </c>
      <c r="K22" s="20">
        <f t="shared" si="4"/>
        <v>255.40846392001444</v>
      </c>
      <c r="L22" s="21">
        <f t="shared" si="5"/>
        <v>1</v>
      </c>
      <c r="M22" s="20">
        <f>SUM(I22:$I$76)</f>
        <v>1756429.4723052336</v>
      </c>
      <c r="N22" s="20">
        <f>SUM(J22:$J$76)</f>
        <v>1742246.066367643</v>
      </c>
      <c r="O22" s="22">
        <f>IF(I22&lt;=0,0,(IF(A22&lt;$B$4,SUMPRODUCT(L22:$L$75,K22:$K$75),0)+베타후*(INDEX($M$16:$M$76,MAX(A22,$B$5)+1)-$M$76)-IF(A22&lt;=$B$5,$E$13*(N22-INDEX($N$16:$N$76,$B$5+1)),0))/I22)</f>
        <v>8.0438432415883609E-2</v>
      </c>
      <c r="P22" s="6">
        <f t="shared" si="6"/>
        <v>8044</v>
      </c>
      <c r="Q22" s="7">
        <v>8044</v>
      </c>
      <c r="R22" s="6">
        <f t="shared" si="7"/>
        <v>0</v>
      </c>
    </row>
    <row r="23" spans="1:18" x14ac:dyDescent="0.45">
      <c r="A23">
        <v>7</v>
      </c>
      <c r="B23">
        <f t="shared" si="0"/>
        <v>47</v>
      </c>
      <c r="C23" s="19">
        <f>INDEX(위험률!$B:$B,B23+2)</f>
        <v>1.823E-3</v>
      </c>
      <c r="D23" s="19">
        <f>INDEX(위험률!$D:$D,B23+2)</f>
        <v>3.2060000000000001E-3</v>
      </c>
      <c r="E23" s="19">
        <f>INDEX(위험률!$C:$C,B23+2)</f>
        <v>2.9462999999999999E-4</v>
      </c>
      <c r="F23" s="19">
        <f t="shared" si="1"/>
        <v>5.0260777310000004E-3</v>
      </c>
      <c r="G23" s="20">
        <f t="shared" si="8"/>
        <v>97154.120274689194</v>
      </c>
      <c r="H23" s="20">
        <f t="shared" si="9"/>
        <v>97022.508160460595</v>
      </c>
      <c r="I23" s="20">
        <f t="shared" si="2"/>
        <v>81732.383832209205</v>
      </c>
      <c r="J23" s="20">
        <f t="shared" si="3"/>
        <v>81621.663135992858</v>
      </c>
      <c r="K23" s="20">
        <f t="shared" si="4"/>
        <v>258.81875941764662</v>
      </c>
      <c r="L23" s="21">
        <f t="shared" si="5"/>
        <v>1</v>
      </c>
      <c r="M23" s="20">
        <f>SUM(I23:$I$76)</f>
        <v>1672255.8520172054</v>
      </c>
      <c r="N23" s="20">
        <f>SUM(J23:$J$76)</f>
        <v>1658164.5161811751</v>
      </c>
      <c r="O23" s="22">
        <f>IF(I23&lt;=0,0,(IF(A23&lt;$B$4,SUMPRODUCT(L23:$L$75,K23:$K$75),0)+베타후*(INDEX($M$16:$M$76,MAX(A23,$B$5)+1)-$M$76)-IF(A23&lt;=$B$5,$E$13*(N23-INDEX($N$16:$N$76,$B$5+1)),0))/I23)</f>
        <v>9.4943736653894023E-2</v>
      </c>
      <c r="P23" s="6">
        <f t="shared" si="6"/>
        <v>9494</v>
      </c>
      <c r="Q23" s="7">
        <v>9494</v>
      </c>
      <c r="R23" s="6">
        <f t="shared" si="7"/>
        <v>0</v>
      </c>
    </row>
    <row r="24" spans="1:18" x14ac:dyDescent="0.45">
      <c r="A24">
        <v>8</v>
      </c>
      <c r="B24">
        <f t="shared" si="0"/>
        <v>48</v>
      </c>
      <c r="C24" s="19">
        <f>INDEX(위험률!$B:$B,B24+2)</f>
        <v>1.9970000000000001E-3</v>
      </c>
      <c r="D24" s="19">
        <f>INDEX(위험률!$D:$D,B24+2)</f>
        <v>3.3969999999999998E-3</v>
      </c>
      <c r="E24" s="19">
        <f>INDEX(위험률!$C:$C,B24+2)</f>
        <v>3.2673000000000001E-4</v>
      </c>
      <c r="F24" s="19">
        <f t="shared" si="1"/>
        <v>5.3906080954999993E-3</v>
      </c>
      <c r="G24" s="20">
        <f t="shared" si="8"/>
        <v>96665.816114301677</v>
      </c>
      <c r="H24" s="20">
        <f t="shared" si="9"/>
        <v>96506.397369465936</v>
      </c>
      <c r="I24" s="20">
        <f t="shared" si="2"/>
        <v>79338.137090662029</v>
      </c>
      <c r="J24" s="20">
        <f t="shared" si="3"/>
        <v>79207.294702514773</v>
      </c>
      <c r="K24" s="20">
        <f t="shared" si="4"/>
        <v>266.20463502302175</v>
      </c>
      <c r="L24" s="21">
        <f t="shared" si="5"/>
        <v>1</v>
      </c>
      <c r="M24" s="20">
        <f>SUM(I24:$I$76)</f>
        <v>1590523.4681849959</v>
      </c>
      <c r="N24" s="20">
        <f>SUM(J24:$J$76)</f>
        <v>1576542.8530451823</v>
      </c>
      <c r="O24" s="22">
        <f>IF(I24&lt;=0,0,(IF(A24&lt;$B$4,SUMPRODUCT(L24:$L$75,K24:$K$75),0)+베타후*(INDEX($M$16:$M$76,MAX(A24,$B$5)+1)-$M$76)-IF(A24&lt;=$B$5,$E$13*(N24-INDEX($N$16:$N$76,$B$5+1)),0))/I24)</f>
        <v>0.10977494630711879</v>
      </c>
      <c r="P24" s="6">
        <f t="shared" si="6"/>
        <v>10977</v>
      </c>
      <c r="Q24" s="7">
        <v>10977</v>
      </c>
      <c r="R24" s="6">
        <f t="shared" si="7"/>
        <v>0</v>
      </c>
    </row>
    <row r="25" spans="1:18" x14ac:dyDescent="0.45">
      <c r="A25">
        <v>9</v>
      </c>
      <c r="B25">
        <f t="shared" si="0"/>
        <v>49</v>
      </c>
      <c r="C25" s="19">
        <f>INDEX(위험률!$B:$B,B25+2)</f>
        <v>2.1919999999999999E-3</v>
      </c>
      <c r="D25" s="19">
        <f>INDEX(위험률!$D:$D,B25+2)</f>
        <v>3.6380000000000002E-3</v>
      </c>
      <c r="E25" s="19">
        <f>INDEX(위험률!$C:$C,B25+2)</f>
        <v>3.6063000000000002E-4</v>
      </c>
      <c r="F25" s="19">
        <f t="shared" si="1"/>
        <v>5.8260127519999998E-3</v>
      </c>
      <c r="G25" s="20">
        <f t="shared" si="8"/>
        <v>96144.728583397809</v>
      </c>
      <c r="H25" s="20">
        <f t="shared" si="9"/>
        <v>95954.776157237095</v>
      </c>
      <c r="I25" s="20">
        <f t="shared" si="2"/>
        <v>76985.811011296799</v>
      </c>
      <c r="J25" s="20">
        <f t="shared" si="3"/>
        <v>76833.710716283109</v>
      </c>
      <c r="K25" s="20">
        <f t="shared" si="4"/>
        <v>276.63775484274845</v>
      </c>
      <c r="L25" s="21">
        <f t="shared" si="5"/>
        <v>1</v>
      </c>
      <c r="M25" s="20">
        <f>SUM(I25:$I$76)</f>
        <v>1511185.3310943339</v>
      </c>
      <c r="N25" s="20">
        <f>SUM(J25:$J$76)</f>
        <v>1497335.5583426678</v>
      </c>
      <c r="O25" s="22">
        <f>IF(I25&lt;=0,0,(IF(A25&lt;$B$4,SUMPRODUCT(L25:$L$75,K25:$K$75),0)+베타후*(INDEX($M$16:$M$76,MAX(A25,$B$5)+1)-$M$76)-IF(A25&lt;=$B$5,$E$13*(N25-INDEX($N$16:$N$76,$B$5+1)),0))/I25)</f>
        <v>0.12490064823545255</v>
      </c>
      <c r="P25" s="6">
        <f t="shared" si="6"/>
        <v>12490</v>
      </c>
      <c r="Q25" s="7">
        <v>12490</v>
      </c>
      <c r="R25" s="6">
        <f t="shared" si="7"/>
        <v>0</v>
      </c>
    </row>
    <row r="26" spans="1:18" x14ac:dyDescent="0.45">
      <c r="A26">
        <v>10</v>
      </c>
      <c r="B26">
        <f t="shared" si="0"/>
        <v>50</v>
      </c>
      <c r="C26" s="19">
        <f>INDEX(위험률!$B:$B,B26+2)</f>
        <v>2.398E-3</v>
      </c>
      <c r="D26" s="19">
        <f>INDEX(위험률!$D:$D,B26+2)</f>
        <v>3.9220000000000001E-3</v>
      </c>
      <c r="E26" s="19">
        <f>INDEX(위험률!$C:$C,B26+2)</f>
        <v>2.5240000000000001E-4</v>
      </c>
      <c r="F26" s="19">
        <f t="shared" si="1"/>
        <v>6.3152975219999997E-3</v>
      </c>
      <c r="G26" s="20">
        <f t="shared" si="8"/>
        <v>95584.58816863336</v>
      </c>
      <c r="H26" s="20">
        <f t="shared" si="9"/>
        <v>95361.301914973898</v>
      </c>
      <c r="I26" s="20">
        <f t="shared" si="2"/>
        <v>74670.52750694823</v>
      </c>
      <c r="J26" s="20">
        <f t="shared" si="3"/>
        <v>74496.096642462129</v>
      </c>
      <c r="K26" s="20">
        <f t="shared" si="4"/>
        <v>289.26432544294846</v>
      </c>
      <c r="L26" s="21">
        <f t="shared" si="5"/>
        <v>1</v>
      </c>
      <c r="M26" s="20">
        <f>SUM(I26:$I$76)</f>
        <v>1434199.5200830372</v>
      </c>
      <c r="N26" s="20">
        <f>SUM(J26:$J$76)</f>
        <v>1420501.8476263843</v>
      </c>
      <c r="O26" s="22">
        <f>IF(I26&lt;=0,0,(IF(A26&lt;$B$4,SUMPRODUCT(L26:$L$75,K26:$K$75),0)+베타후*(INDEX($M$16:$M$76,MAX(A26,$B$5)+1)-$M$76)-IF(A26&lt;=$B$5,$E$13*(N26-INDEX($N$16:$N$76,$B$5+1)),0))/I26)</f>
        <v>0.140299641839777</v>
      </c>
      <c r="P26" s="6">
        <f t="shared" si="6"/>
        <v>14030</v>
      </c>
      <c r="Q26" s="7">
        <v>14030</v>
      </c>
      <c r="R26" s="6">
        <f t="shared" si="7"/>
        <v>0</v>
      </c>
    </row>
    <row r="27" spans="1:18" x14ac:dyDescent="0.45">
      <c r="A27">
        <v>11</v>
      </c>
      <c r="B27">
        <f t="shared" si="0"/>
        <v>51</v>
      </c>
      <c r="C27" s="19">
        <f>INDEX(위험률!$B:$B,B27+2)</f>
        <v>2.6329999999999999E-3</v>
      </c>
      <c r="D27" s="19">
        <f>INDEX(위험률!$D:$D,B27+2)</f>
        <v>4.2469999999999999E-3</v>
      </c>
      <c r="E27" s="19">
        <f>INDEX(위험률!$C:$C,B27+2)</f>
        <v>2.7060000000000002E-4</v>
      </c>
      <c r="F27" s="19">
        <f t="shared" si="1"/>
        <v>6.8744088244999998E-3</v>
      </c>
      <c r="G27" s="20">
        <f t="shared" si="8"/>
        <v>94980.943055830605</v>
      </c>
      <c r="H27" s="20">
        <f t="shared" si="9"/>
        <v>94735.120873842694</v>
      </c>
      <c r="I27" s="20">
        <f t="shared" si="2"/>
        <v>72389.230155724072</v>
      </c>
      <c r="J27" s="20">
        <f t="shared" si="3"/>
        <v>72201.878062379998</v>
      </c>
      <c r="K27" s="20">
        <f t="shared" si="4"/>
        <v>303.6646837345121</v>
      </c>
      <c r="L27" s="21">
        <f t="shared" si="5"/>
        <v>1</v>
      </c>
      <c r="M27" s="20">
        <f>SUM(I27:$I$76)</f>
        <v>1359528.992576089</v>
      </c>
      <c r="N27" s="20">
        <f>SUM(J27:$J$76)</f>
        <v>1346005.7509839223</v>
      </c>
      <c r="O27" s="22">
        <f>IF(I27&lt;=0,0,(IF(A27&lt;$B$4,SUMPRODUCT(L27:$L$75,K27:$K$75),0)+베타후*(INDEX($M$16:$M$76,MAX(A27,$B$5)+1)-$M$76)-IF(A27&lt;=$B$5,$E$13*(N27-INDEX($N$16:$N$76,$B$5+1)),0))/I27)</f>
        <v>0.15595815003259156</v>
      </c>
      <c r="P27" s="6">
        <f t="shared" si="6"/>
        <v>15596</v>
      </c>
      <c r="Q27" s="7">
        <v>15596</v>
      </c>
      <c r="R27" s="6">
        <f t="shared" si="7"/>
        <v>0</v>
      </c>
    </row>
    <row r="28" spans="1:18" x14ac:dyDescent="0.45">
      <c r="A28">
        <v>12</v>
      </c>
      <c r="B28">
        <f t="shared" si="0"/>
        <v>52</v>
      </c>
      <c r="C28" s="19">
        <f>INDEX(위험률!$B:$B,B28+2)</f>
        <v>2.9120000000000001E-3</v>
      </c>
      <c r="D28" s="19">
        <f>INDEX(위험률!$D:$D,B28+2)</f>
        <v>4.6150000000000002E-3</v>
      </c>
      <c r="E28" s="19">
        <f>INDEX(위험률!$C:$C,B28+2)</f>
        <v>2.8959999999999999E-4</v>
      </c>
      <c r="F28" s="19">
        <f t="shared" si="1"/>
        <v>7.5202805600000011E-3</v>
      </c>
      <c r="G28" s="20">
        <f t="shared" si="8"/>
        <v>94328.005222728272</v>
      </c>
      <c r="H28" s="20">
        <f t="shared" si="9"/>
        <v>94058.380078000875</v>
      </c>
      <c r="I28" s="20">
        <f t="shared" si="2"/>
        <v>70138.143407944212</v>
      </c>
      <c r="J28" s="20">
        <f t="shared" si="3"/>
        <v>69937.662044825964</v>
      </c>
      <c r="K28" s="20">
        <f t="shared" si="4"/>
        <v>319.71575525263842</v>
      </c>
      <c r="L28" s="21">
        <f t="shared" si="5"/>
        <v>1</v>
      </c>
      <c r="M28" s="20">
        <f>SUM(I28:$I$76)</f>
        <v>1287139.7624203649</v>
      </c>
      <c r="N28" s="20">
        <f>SUM(J28:$J$76)</f>
        <v>1273803.8729215423</v>
      </c>
      <c r="O28" s="22">
        <f>IF(I28&lt;=0,0,(IF(A28&lt;$B$4,SUMPRODUCT(L28:$L$75,K28:$K$75),0)+베타후*(INDEX($M$16:$M$76,MAX(A28,$B$5)+1)-$M$76)-IF(A28&lt;=$B$5,$E$13*(N28-INDEX($N$16:$N$76,$B$5+1)),0))/I28)</f>
        <v>0.17187185363457277</v>
      </c>
      <c r="P28" s="6">
        <f t="shared" si="6"/>
        <v>17187</v>
      </c>
      <c r="Q28" s="7">
        <v>17187</v>
      </c>
      <c r="R28" s="6">
        <f t="shared" si="7"/>
        <v>0</v>
      </c>
    </row>
    <row r="29" spans="1:18" x14ac:dyDescent="0.45">
      <c r="A29">
        <v>13</v>
      </c>
      <c r="B29">
        <f t="shared" si="0"/>
        <v>53</v>
      </c>
      <c r="C29" s="19">
        <f>INDEX(위험률!$B:$B,B29+2)</f>
        <v>3.2100000000000002E-3</v>
      </c>
      <c r="D29" s="19">
        <f>INDEX(위험률!$D:$D,B29+2)</f>
        <v>5.0140000000000002E-3</v>
      </c>
      <c r="E29" s="19">
        <f>INDEX(위험률!$C:$C,B29+2)</f>
        <v>3.0969999999999999E-4</v>
      </c>
      <c r="F29" s="19">
        <f t="shared" si="1"/>
        <v>8.2159525300000008E-3</v>
      </c>
      <c r="G29" s="20">
        <f t="shared" si="8"/>
        <v>93618.632158788212</v>
      </c>
      <c r="H29" s="20">
        <f t="shared" si="9"/>
        <v>93323.960550723728</v>
      </c>
      <c r="I29" s="20">
        <f t="shared" si="2"/>
        <v>67912.863308838001</v>
      </c>
      <c r="J29" s="20">
        <f t="shared" si="3"/>
        <v>67699.102520221306</v>
      </c>
      <c r="K29" s="20">
        <f t="shared" si="4"/>
        <v>336.3368390479535</v>
      </c>
      <c r="L29" s="21">
        <f t="shared" si="5"/>
        <v>1</v>
      </c>
      <c r="M29" s="20">
        <f>SUM(I29:$I$76)</f>
        <v>1217001.619012421</v>
      </c>
      <c r="N29" s="20">
        <f>SUM(J29:$J$76)</f>
        <v>1203866.2108767163</v>
      </c>
      <c r="O29" s="22">
        <f>IF(I29&lt;=0,0,(IF(A29&lt;$B$4,SUMPRODUCT(L29:$L$75,K29:$K$75),0)+베타후*(INDEX($M$16:$M$76,MAX(A29,$B$5)+1)-$M$76)-IF(A29&lt;=$B$5,$E$13*(N29-INDEX($N$16:$N$76,$B$5+1)),0))/I29)</f>
        <v>0.18803931885345671</v>
      </c>
      <c r="P29" s="6">
        <f t="shared" si="6"/>
        <v>18804</v>
      </c>
      <c r="Q29" s="7">
        <v>18804</v>
      </c>
      <c r="R29" s="6">
        <f t="shared" si="7"/>
        <v>0</v>
      </c>
    </row>
    <row r="30" spans="1:18" x14ac:dyDescent="0.45">
      <c r="A30">
        <v>14</v>
      </c>
      <c r="B30">
        <f t="shared" si="0"/>
        <v>54</v>
      </c>
      <c r="C30" s="19">
        <f>INDEX(위험률!$B:$B,B30+2)</f>
        <v>3.5409999999999999E-3</v>
      </c>
      <c r="D30" s="19">
        <f>INDEX(위험률!$D:$D,B30+2)</f>
        <v>5.4349999999999997E-3</v>
      </c>
      <c r="E30" s="19">
        <f>INDEX(위험률!$C:$C,B30+2)</f>
        <v>3.2949999999999999E-4</v>
      </c>
      <c r="F30" s="19">
        <f t="shared" si="1"/>
        <v>8.9663773324999991E-3</v>
      </c>
      <c r="G30" s="20">
        <f t="shared" si="8"/>
        <v>92849.465921048075</v>
      </c>
      <c r="H30" s="20">
        <f t="shared" si="9"/>
        <v>92528.50396294141</v>
      </c>
      <c r="I30" s="20">
        <f t="shared" si="2"/>
        <v>65712.092144113383</v>
      </c>
      <c r="J30" s="20">
        <f t="shared" si="3"/>
        <v>65484.93863755693</v>
      </c>
      <c r="K30" s="20">
        <f t="shared" si="4"/>
        <v>352.76290488932898</v>
      </c>
      <c r="L30" s="21">
        <f t="shared" si="5"/>
        <v>1</v>
      </c>
      <c r="M30" s="20">
        <f>SUM(I30:$I$76)</f>
        <v>1149088.7557035829</v>
      </c>
      <c r="N30" s="20">
        <f>SUM(J30:$J$76)</f>
        <v>1136167.1083564952</v>
      </c>
      <c r="O30" s="22">
        <f>IF(I30&lt;=0,0,(IF(A30&lt;$B$4,SUMPRODUCT(L30:$L$75,K30:$K$75),0)+베타후*(INDEX($M$16:$M$76,MAX(A30,$B$5)+1)-$M$76)-IF(A30&lt;=$B$5,$E$13*(N30-INDEX($N$16:$N$76,$B$5+1)),0))/I30)</f>
        <v>0.2044684206401729</v>
      </c>
      <c r="P30" s="6">
        <f t="shared" si="6"/>
        <v>20447</v>
      </c>
      <c r="Q30" s="7">
        <v>20447</v>
      </c>
      <c r="R30" s="6">
        <f t="shared" si="7"/>
        <v>0</v>
      </c>
    </row>
    <row r="31" spans="1:18" x14ac:dyDescent="0.45">
      <c r="A31">
        <v>15</v>
      </c>
      <c r="B31">
        <f t="shared" si="0"/>
        <v>55</v>
      </c>
      <c r="C31" s="19">
        <f>INDEX(위험률!$B:$B,B31+2)</f>
        <v>3.8760000000000001E-3</v>
      </c>
      <c r="D31" s="19">
        <f>INDEX(위험률!$D:$D,B31+2)</f>
        <v>5.8659999999999997E-3</v>
      </c>
      <c r="E31" s="19">
        <f>INDEX(위험률!$C:$C,B31+2)</f>
        <v>3.4909999999999997E-4</v>
      </c>
      <c r="F31" s="19">
        <f t="shared" si="1"/>
        <v>9.7306316920000007E-3</v>
      </c>
      <c r="G31" s="20">
        <f t="shared" si="8"/>
        <v>92016.94257447886</v>
      </c>
      <c r="H31" s="20">
        <f t="shared" si="9"/>
        <v>91668.589729272499</v>
      </c>
      <c r="I31" s="20">
        <f t="shared" si="2"/>
        <v>63534.529493308561</v>
      </c>
      <c r="J31" s="20">
        <f t="shared" si="3"/>
        <v>63294.0038520667</v>
      </c>
      <c r="K31" s="20">
        <f t="shared" si="4"/>
        <v>368.12044982305662</v>
      </c>
      <c r="L31" s="21">
        <f t="shared" si="5"/>
        <v>1</v>
      </c>
      <c r="M31" s="20">
        <f>SUM(I31:$I$76)</f>
        <v>1083376.6635594694</v>
      </c>
      <c r="N31" s="20">
        <f>SUM(J31:$J$76)</f>
        <v>1070682.1697189382</v>
      </c>
      <c r="O31" s="22">
        <f>IF(I31&lt;=0,0,(IF(A31&lt;$B$4,SUMPRODUCT(L31:$L$75,K31:$K$75),0)+베타후*(INDEX($M$16:$M$76,MAX(A31,$B$5)+1)-$M$76)-IF(A31&lt;=$B$5,$E$13*(N31-INDEX($N$16:$N$76,$B$5+1)),0))/I31)</f>
        <v>0.22118061432708311</v>
      </c>
      <c r="P31" s="6">
        <f t="shared" si="6"/>
        <v>22118</v>
      </c>
      <c r="Q31" s="7">
        <v>22118</v>
      </c>
      <c r="R31" s="6">
        <f t="shared" si="7"/>
        <v>0</v>
      </c>
    </row>
    <row r="32" spans="1:18" x14ac:dyDescent="0.45">
      <c r="A32">
        <v>16</v>
      </c>
      <c r="B32">
        <f t="shared" si="0"/>
        <v>56</v>
      </c>
      <c r="C32" s="19">
        <f>INDEX(위험률!$B:$B,B32+2)</f>
        <v>4.241E-3</v>
      </c>
      <c r="D32" s="19">
        <f>INDEX(위험률!$D:$D,B32+2)</f>
        <v>6.3169999999999997E-3</v>
      </c>
      <c r="E32" s="19">
        <f>INDEX(위험률!$C:$C,B32+2)</f>
        <v>3.6910000000000003E-4</v>
      </c>
      <c r="F32" s="19">
        <f t="shared" si="1"/>
        <v>1.0544604801499999E-2</v>
      </c>
      <c r="G32" s="20">
        <f t="shared" si="8"/>
        <v>91121.559596862702</v>
      </c>
      <c r="H32" s="20">
        <f t="shared" si="9"/>
        <v>90744.844316156916</v>
      </c>
      <c r="I32" s="20">
        <f t="shared" si="2"/>
        <v>61381.75452398503</v>
      </c>
      <c r="J32" s="20">
        <f t="shared" si="3"/>
        <v>61127.989718070618</v>
      </c>
      <c r="K32" s="20">
        <f t="shared" si="4"/>
        <v>382.99071230284477</v>
      </c>
      <c r="L32" s="21">
        <f t="shared" si="5"/>
        <v>1</v>
      </c>
      <c r="M32" s="20">
        <f>SUM(I32:$I$76)</f>
        <v>1019842.1340661607</v>
      </c>
      <c r="N32" s="20">
        <f>SUM(J32:$J$76)</f>
        <v>1007388.1658668717</v>
      </c>
      <c r="O32" s="22">
        <f>IF(I32&lt;=0,0,(IF(A32&lt;$B$4,SUMPRODUCT(L32:$L$75,K32:$K$75),0)+베타후*(INDEX($M$16:$M$76,MAX(A32,$B$5)+1)-$M$76)-IF(A32&lt;=$B$5,$E$13*(N32-INDEX($N$16:$N$76,$B$5+1)),0))/I32)</f>
        <v>0.23820395383062354</v>
      </c>
      <c r="P32" s="6">
        <f t="shared" si="6"/>
        <v>23820</v>
      </c>
      <c r="Q32" s="7">
        <v>23820</v>
      </c>
      <c r="R32" s="6">
        <f t="shared" si="7"/>
        <v>0</v>
      </c>
    </row>
    <row r="33" spans="1:18" x14ac:dyDescent="0.45">
      <c r="A33">
        <v>17</v>
      </c>
      <c r="B33">
        <f t="shared" si="0"/>
        <v>57</v>
      </c>
      <c r="C33" s="19">
        <f>INDEX(위험률!$B:$B,B33+2)</f>
        <v>4.6430000000000004E-3</v>
      </c>
      <c r="D33" s="19">
        <f>INDEX(위험률!$D:$D,B33+2)</f>
        <v>6.8050000000000003E-3</v>
      </c>
      <c r="E33" s="19">
        <f>INDEX(위험률!$C:$C,B33+2)</f>
        <v>3.879E-4</v>
      </c>
      <c r="F33" s="19">
        <f t="shared" si="1"/>
        <v>1.1432202192499999E-2</v>
      </c>
      <c r="G33" s="20">
        <f t="shared" si="8"/>
        <v>90160.718762017452</v>
      </c>
      <c r="H33" s="20">
        <f t="shared" si="9"/>
        <v>89754.76402934175</v>
      </c>
      <c r="I33" s="20">
        <f t="shared" si="2"/>
        <v>59253.178712689689</v>
      </c>
      <c r="J33" s="20">
        <f t="shared" si="3"/>
        <v>58986.387268979182</v>
      </c>
      <c r="K33" s="20">
        <f t="shared" si="4"/>
        <v>398.27023510016966</v>
      </c>
      <c r="L33" s="21">
        <f t="shared" si="5"/>
        <v>1</v>
      </c>
      <c r="M33" s="20">
        <f>SUM(I33:$I$76)</f>
        <v>958460.37954217556</v>
      </c>
      <c r="N33" s="20">
        <f>SUM(J33:$J$76)</f>
        <v>946260.17614880111</v>
      </c>
      <c r="O33" s="22">
        <f>IF(I33&lt;=0,0,(IF(A33&lt;$B$4,SUMPRODUCT(L33:$L$75,K33:$K$75),0)+베타후*(INDEX($M$16:$M$76,MAX(A33,$B$5)+1)-$M$76)-IF(A33&lt;=$B$5,$E$13*(N33-INDEX($N$16:$N$76,$B$5+1)),0))/I33)</f>
        <v>0.25556797557176997</v>
      </c>
      <c r="P33" s="6">
        <f t="shared" si="6"/>
        <v>25557</v>
      </c>
      <c r="Q33" s="7">
        <v>25557</v>
      </c>
      <c r="R33" s="6">
        <f t="shared" si="7"/>
        <v>0</v>
      </c>
    </row>
    <row r="34" spans="1:18" x14ac:dyDescent="0.45">
      <c r="A34">
        <v>18</v>
      </c>
      <c r="B34">
        <f t="shared" si="0"/>
        <v>58</v>
      </c>
      <c r="C34" s="19">
        <f>INDEX(위험률!$B:$B,B34+2)</f>
        <v>5.0899999999999999E-3</v>
      </c>
      <c r="D34" s="19">
        <f>INDEX(위험률!$D:$D,B34+2)</f>
        <v>7.3410000000000003E-3</v>
      </c>
      <c r="E34" s="19">
        <f>INDEX(위험률!$C:$C,B34+2)</f>
        <v>4.059E-4</v>
      </c>
      <c r="F34" s="19">
        <f t="shared" si="1"/>
        <v>1.2412317155000002E-2</v>
      </c>
      <c r="G34" s="20">
        <f t="shared" si="8"/>
        <v>89129.983195308945</v>
      </c>
      <c r="H34" s="20">
        <f t="shared" si="9"/>
        <v>88694.17074330138</v>
      </c>
      <c r="I34" s="20">
        <f t="shared" si="2"/>
        <v>57147.10672497355</v>
      </c>
      <c r="J34" s="20">
        <f t="shared" si="3"/>
        <v>56867.678637879959</v>
      </c>
      <c r="K34" s="20">
        <f t="shared" si="4"/>
        <v>414.36926876427026</v>
      </c>
      <c r="L34" s="21">
        <f t="shared" si="5"/>
        <v>1</v>
      </c>
      <c r="M34" s="20">
        <f>SUM(I34:$I$76)</f>
        <v>899207.2008294859</v>
      </c>
      <c r="N34" s="20">
        <f>SUM(J34:$J$76)</f>
        <v>887273.78887982201</v>
      </c>
      <c r="O34" s="22">
        <f>IF(I34&lt;=0,0,(IF(A34&lt;$B$4,SUMPRODUCT(L34:$L$75,K34:$K$75),0)+베타후*(INDEX($M$16:$M$76,MAX(A34,$B$5)+1)-$M$76)-IF(A34&lt;=$B$5,$E$13*(N34-INDEX($N$16:$N$76,$B$5+1)),0))/I34)</f>
        <v>0.27329595797873651</v>
      </c>
      <c r="P34" s="6">
        <f t="shared" si="6"/>
        <v>27330</v>
      </c>
      <c r="Q34" s="7">
        <v>27330</v>
      </c>
      <c r="R34" s="6">
        <f t="shared" si="7"/>
        <v>0</v>
      </c>
    </row>
    <row r="35" spans="1:18" x14ac:dyDescent="0.45">
      <c r="A35">
        <v>19</v>
      </c>
      <c r="B35">
        <f t="shared" si="0"/>
        <v>59</v>
      </c>
      <c r="C35" s="19">
        <f>INDEX(위험률!$B:$B,B35+2)</f>
        <v>5.5779999999999996E-3</v>
      </c>
      <c r="D35" s="19">
        <f>INDEX(위험률!$D:$D,B35+2)</f>
        <v>7.9319999999999998E-3</v>
      </c>
      <c r="E35" s="19">
        <f>INDEX(위험률!$C:$C,B35+2)</f>
        <v>4.2529999999999998E-4</v>
      </c>
      <c r="F35" s="19">
        <f t="shared" si="1"/>
        <v>1.3487877652E-2</v>
      </c>
      <c r="G35" s="20">
        <f t="shared" si="8"/>
        <v>88023.673575868947</v>
      </c>
      <c r="H35" s="20">
        <f t="shared" si="9"/>
        <v>87557.624835259834</v>
      </c>
      <c r="I35" s="20">
        <f t="shared" si="2"/>
        <v>55061.247523719561</v>
      </c>
      <c r="J35" s="20">
        <f t="shared" si="3"/>
        <v>54769.721119261128</v>
      </c>
      <c r="K35" s="20">
        <f t="shared" si="4"/>
        <v>431.38676804209547</v>
      </c>
      <c r="L35" s="21">
        <f t="shared" si="5"/>
        <v>1</v>
      </c>
      <c r="M35" s="20">
        <f>SUM(I35:$I$76)</f>
        <v>842060.09410451248</v>
      </c>
      <c r="N35" s="20">
        <f>SUM(J35:$J$76)</f>
        <v>830406.11024194199</v>
      </c>
      <c r="O35" s="22">
        <f>IF(I35&lt;=0,0,(IF(A35&lt;$B$4,SUMPRODUCT(L35:$L$75,K35:$K$75),0)+베타후*(INDEX($M$16:$M$76,MAX(A35,$B$5)+1)-$M$76)-IF(A35&lt;=$B$5,$E$13*(N35-INDEX($N$16:$N$76,$B$5+1)),0))/I35)</f>
        <v>0.2914113238505569</v>
      </c>
      <c r="P35" s="6">
        <f t="shared" si="6"/>
        <v>29141</v>
      </c>
      <c r="Q35" s="7">
        <v>29141</v>
      </c>
      <c r="R35" s="6">
        <f t="shared" si="7"/>
        <v>0</v>
      </c>
    </row>
    <row r="36" spans="1:18" x14ac:dyDescent="0.45">
      <c r="A36">
        <v>20</v>
      </c>
      <c r="B36">
        <f t="shared" si="0"/>
        <v>60</v>
      </c>
      <c r="C36" s="19">
        <f>INDEX(위험률!$B:$B,B36+2)</f>
        <v>6.1060000000000003E-3</v>
      </c>
      <c r="D36" s="19">
        <f>INDEX(위험률!$D:$D,B36+2)</f>
        <v>8.5800000000000008E-3</v>
      </c>
      <c r="E36" s="19">
        <f>INDEX(위험률!$C:$C,B36+2)</f>
        <v>5.3560000000000001E-4</v>
      </c>
      <c r="F36" s="19">
        <f t="shared" si="1"/>
        <v>1.465980526E-2</v>
      </c>
      <c r="G36" s="20">
        <f t="shared" si="8"/>
        <v>86836.421036198037</v>
      </c>
      <c r="H36" s="20">
        <f t="shared" si="9"/>
        <v>86339.818453704327</v>
      </c>
      <c r="I36" s="20">
        <f t="shared" si="2"/>
        <v>52993.74454024696</v>
      </c>
      <c r="J36" s="20">
        <f t="shared" si="3"/>
        <v>52690.682414002396</v>
      </c>
      <c r="K36" s="20">
        <f t="shared" si="4"/>
        <v>449.10714351093634</v>
      </c>
      <c r="L36" s="21">
        <f t="shared" si="5"/>
        <v>1</v>
      </c>
      <c r="M36" s="20">
        <f>SUM(I36:$I$76)</f>
        <v>786998.8465807928</v>
      </c>
      <c r="N36" s="20">
        <f>SUM(J36:$J$76)</f>
        <v>775636.38912268088</v>
      </c>
      <c r="O36" s="22">
        <f>IF(I36&lt;=0,0,(IF(A36&lt;$B$4,SUMPRODUCT(L36:$L$75,K36:$K$75),0)+베타후*(INDEX($M$16:$M$76,MAX(A36,$B$5)+1)-$M$76)-IF(A36&lt;=$B$5,$E$13*(N36-INDEX($N$16:$N$76,$B$5+1)),0))/I36)</f>
        <v>0.30993840944433726</v>
      </c>
      <c r="P36" s="6">
        <f t="shared" si="6"/>
        <v>30994</v>
      </c>
      <c r="Q36" s="7">
        <v>30994</v>
      </c>
      <c r="R36" s="6">
        <f t="shared" si="7"/>
        <v>0</v>
      </c>
    </row>
    <row r="37" spans="1:18" x14ac:dyDescent="0.45">
      <c r="A37">
        <v>21</v>
      </c>
      <c r="B37">
        <f t="shared" si="0"/>
        <v>61</v>
      </c>
      <c r="C37" s="19">
        <f>INDEX(위험률!$B:$B,B37+2)</f>
        <v>6.6889999999999996E-3</v>
      </c>
      <c r="D37" s="19">
        <f>INDEX(위험률!$D:$D,B37+2)</f>
        <v>9.3010000000000002E-3</v>
      </c>
      <c r="E37" s="19">
        <f>INDEX(위험률!$C:$C,B37+2)</f>
        <v>5.5080000000000005E-4</v>
      </c>
      <c r="F37" s="19">
        <f t="shared" si="1"/>
        <v>1.5958892805500002E-2</v>
      </c>
      <c r="G37" s="20">
        <f t="shared" si="8"/>
        <v>85563.416014332004</v>
      </c>
      <c r="H37" s="20">
        <f t="shared" si="9"/>
        <v>85028.386662763689</v>
      </c>
      <c r="I37" s="20">
        <f t="shared" si="2"/>
        <v>50943.284453940258</v>
      </c>
      <c r="J37" s="20">
        <f t="shared" si="3"/>
        <v>50624.735315560989</v>
      </c>
      <c r="K37" s="20">
        <f t="shared" si="4"/>
        <v>468.00948338277607</v>
      </c>
      <c r="L37" s="21">
        <f t="shared" si="5"/>
        <v>1</v>
      </c>
      <c r="M37" s="20">
        <f>SUM(I37:$I$76)</f>
        <v>734005.10204054578</v>
      </c>
      <c r="N37" s="20">
        <f>SUM(J37:$J$76)</f>
        <v>722945.70670867851</v>
      </c>
      <c r="O37" s="22">
        <f>IF(I37&lt;=0,0,(IF(A37&lt;$B$4,SUMPRODUCT(L37:$L$75,K37:$K$75),0)+베타후*(INDEX($M$16:$M$76,MAX(A37,$B$5)+1)-$M$76)-IF(A37&lt;=$B$5,$E$13*(N37-INDEX($N$16:$N$76,$B$5+1)),0))/I37)</f>
        <v>0.31255731105537182</v>
      </c>
      <c r="P37" s="6">
        <f t="shared" si="6"/>
        <v>31256</v>
      </c>
      <c r="Q37" s="7">
        <v>31256</v>
      </c>
      <c r="R37" s="6">
        <f t="shared" si="7"/>
        <v>0</v>
      </c>
    </row>
    <row r="38" spans="1:18" x14ac:dyDescent="0.45">
      <c r="A38">
        <v>22</v>
      </c>
      <c r="B38">
        <f t="shared" si="0"/>
        <v>62</v>
      </c>
      <c r="C38" s="19">
        <f>INDEX(위험률!$B:$B,B38+2)</f>
        <v>7.3429999999999997E-3</v>
      </c>
      <c r="D38" s="19">
        <f>INDEX(위험률!$D:$D,B38+2)</f>
        <v>1.0120000000000001E-2</v>
      </c>
      <c r="E38" s="19">
        <f>INDEX(위험률!$C:$C,B38+2)</f>
        <v>5.6269999999999996E-4</v>
      </c>
      <c r="F38" s="19">
        <f t="shared" si="1"/>
        <v>1.7425844419999999E-2</v>
      </c>
      <c r="G38" s="20">
        <f t="shared" si="8"/>
        <v>84197.918630086875</v>
      </c>
      <c r="H38" s="20">
        <f t="shared" si="9"/>
        <v>83625.184897087311</v>
      </c>
      <c r="I38" s="20">
        <f t="shared" si="2"/>
        <v>48907.596134809493</v>
      </c>
      <c r="J38" s="20">
        <f t="shared" si="3"/>
        <v>48574.915344570632</v>
      </c>
      <c r="K38" s="20">
        <f t="shared" si="4"/>
        <v>488.87169965776474</v>
      </c>
      <c r="L38" s="21">
        <f t="shared" si="5"/>
        <v>1</v>
      </c>
      <c r="M38" s="20">
        <f>SUM(I38:$I$76)</f>
        <v>683061.81758660544</v>
      </c>
      <c r="N38" s="20">
        <f>SUM(J38:$J$76)</f>
        <v>672320.97139311745</v>
      </c>
      <c r="O38" s="22">
        <f>IF(I38&lt;=0,0,(IF(A38&lt;$B$4,SUMPRODUCT(L38:$L$75,K38:$K$75),0)+베타후*(INDEX($M$16:$M$76,MAX(A38,$B$5)+1)-$M$76)-IF(A38&lt;=$B$5,$E$13*(N38-INDEX($N$16:$N$76,$B$5+1)),0))/I38)</f>
        <v>0.31495604885091288</v>
      </c>
      <c r="P38" s="6">
        <f t="shared" si="6"/>
        <v>31496</v>
      </c>
      <c r="Q38" s="7">
        <v>31496</v>
      </c>
      <c r="R38" s="6">
        <f t="shared" si="7"/>
        <v>0</v>
      </c>
    </row>
    <row r="39" spans="1:18" x14ac:dyDescent="0.45">
      <c r="A39">
        <v>23</v>
      </c>
      <c r="B39">
        <f t="shared" si="0"/>
        <v>63</v>
      </c>
      <c r="C39" s="19">
        <f>INDEX(위험률!$B:$B,B39+2)</f>
        <v>8.0759999999999998E-3</v>
      </c>
      <c r="D39" s="19">
        <f>INDEX(위험률!$D:$D,B39+2)</f>
        <v>1.1050000000000001E-2</v>
      </c>
      <c r="E39" s="19">
        <f>INDEX(위험률!$C:$C,B39+2)</f>
        <v>5.777E-4</v>
      </c>
      <c r="F39" s="19">
        <f t="shared" si="1"/>
        <v>1.90813801E-2</v>
      </c>
      <c r="G39" s="20">
        <f t="shared" si="8"/>
        <v>82730.698799551159</v>
      </c>
      <c r="H39" s="20">
        <f t="shared" si="9"/>
        <v>82121.536766874589</v>
      </c>
      <c r="I39" s="20">
        <f t="shared" si="2"/>
        <v>46883.258510837186</v>
      </c>
      <c r="J39" s="20">
        <f t="shared" si="3"/>
        <v>46538.048069400451</v>
      </c>
      <c r="K39" s="20">
        <f t="shared" si="4"/>
        <v>511.70320130473084</v>
      </c>
      <c r="L39" s="21">
        <f t="shared" si="5"/>
        <v>1</v>
      </c>
      <c r="M39" s="20">
        <f>SUM(I39:$I$76)</f>
        <v>634154.22145179601</v>
      </c>
      <c r="N39" s="20">
        <f>SUM(J39:$J$76)</f>
        <v>623746.05604854692</v>
      </c>
      <c r="O39" s="22">
        <f>IF(I39&lt;=0,0,(IF(A39&lt;$B$4,SUMPRODUCT(L39:$L$75,K39:$K$75),0)+베타후*(INDEX($M$16:$M$76,MAX(A39,$B$5)+1)-$M$76)-IF(A39&lt;=$B$5,$E$13*(N39-INDEX($N$16:$N$76,$B$5+1)),0))/I39)</f>
        <v>0.31708469960949692</v>
      </c>
      <c r="P39" s="6">
        <f t="shared" si="6"/>
        <v>31708</v>
      </c>
      <c r="Q39" s="7">
        <v>31708</v>
      </c>
      <c r="R39" s="6">
        <f t="shared" si="7"/>
        <v>0</v>
      </c>
    </row>
    <row r="40" spans="1:18" x14ac:dyDescent="0.45">
      <c r="A40">
        <v>24</v>
      </c>
      <c r="B40">
        <f t="shared" si="0"/>
        <v>64</v>
      </c>
      <c r="C40" s="19">
        <f>INDEX(위험률!$B:$B,B40+2)</f>
        <v>8.8990000000000007E-3</v>
      </c>
      <c r="D40" s="19">
        <f>INDEX(위험률!$D:$D,B40+2)</f>
        <v>1.21E-2</v>
      </c>
      <c r="E40" s="19">
        <f>INDEX(위험률!$C:$C,B40+2)</f>
        <v>6.0130000000000003E-4</v>
      </c>
      <c r="F40" s="19">
        <f t="shared" si="1"/>
        <v>2.0945161050000001E-2</v>
      </c>
      <c r="G40" s="20">
        <f t="shared" si="8"/>
        <v>81152.08288981831</v>
      </c>
      <c r="H40" s="20">
        <f t="shared" si="9"/>
        <v>80507.816579838225</v>
      </c>
      <c r="I40" s="20">
        <f t="shared" si="2"/>
        <v>44866.986570600326</v>
      </c>
      <c r="J40" s="20">
        <f t="shared" si="3"/>
        <v>44510.787606280297</v>
      </c>
      <c r="K40" s="20">
        <f t="shared" si="4"/>
        <v>536.22905163396592</v>
      </c>
      <c r="L40" s="21">
        <f t="shared" si="5"/>
        <v>1</v>
      </c>
      <c r="M40" s="20">
        <f>SUM(I40:$I$76)</f>
        <v>587270.96294095879</v>
      </c>
      <c r="N40" s="20">
        <f>SUM(J40:$J$76)</f>
        <v>577208.00797914644</v>
      </c>
      <c r="O40" s="22">
        <f>IF(I40&lt;=0,0,(IF(A40&lt;$B$4,SUMPRODUCT(L40:$L$75,K40:$K$75),0)+베타후*(INDEX($M$16:$M$76,MAX(A40,$B$5)+1)-$M$76)-IF(A40&lt;=$B$5,$E$13*(N40-INDEX($N$16:$N$76,$B$5+1)),0))/I40)</f>
        <v>0.31888429723922507</v>
      </c>
      <c r="P40" s="6">
        <f t="shared" si="6"/>
        <v>31888</v>
      </c>
      <c r="Q40" s="7">
        <v>31888</v>
      </c>
      <c r="R40" s="6">
        <f t="shared" si="7"/>
        <v>0</v>
      </c>
    </row>
    <row r="41" spans="1:18" x14ac:dyDescent="0.45">
      <c r="A41">
        <v>25</v>
      </c>
      <c r="B41">
        <f t="shared" si="0"/>
        <v>65</v>
      </c>
      <c r="C41" s="19">
        <f>INDEX(위험률!$B:$B,B41+2)</f>
        <v>9.8449999999999996E-3</v>
      </c>
      <c r="D41" s="19">
        <f>INDEX(위험률!$D:$D,B41+2)</f>
        <v>1.3259999999999999E-2</v>
      </c>
      <c r="E41" s="19">
        <f>INDEX(위험률!$C:$C,B41+2)</f>
        <v>6.3489999999999998E-4</v>
      </c>
      <c r="F41" s="19">
        <f t="shared" si="1"/>
        <v>2.3039727650000001E-2</v>
      </c>
      <c r="G41" s="20">
        <f t="shared" si="8"/>
        <v>79452.339444148121</v>
      </c>
      <c r="H41" s="20">
        <f t="shared" si="9"/>
        <v>78773.956589911264</v>
      </c>
      <c r="I41" s="20">
        <f t="shared" si="2"/>
        <v>42855.84420590334</v>
      </c>
      <c r="J41" s="20">
        <f t="shared" si="3"/>
        <v>42489.930878284242</v>
      </c>
      <c r="K41" s="20">
        <f t="shared" si="4"/>
        <v>561.295610535479</v>
      </c>
      <c r="L41" s="21">
        <f t="shared" si="5"/>
        <v>1</v>
      </c>
      <c r="M41" s="20">
        <f>SUM(I41:$I$76)</f>
        <v>542403.97637035837</v>
      </c>
      <c r="N41" s="20">
        <f>SUM(J41:$J$76)</f>
        <v>532697.22037286602</v>
      </c>
      <c r="O41" s="22">
        <f>IF(I41&lt;=0,0,(IF(A41&lt;$B$4,SUMPRODUCT(L41:$L$75,K41:$K$75),0)+베타후*(INDEX($M$16:$M$76,MAX(A41,$B$5)+1)-$M$76)-IF(A41&lt;=$B$5,$E$13*(N41-INDEX($N$16:$N$76,$B$5+1)),0))/I41)</f>
        <v>0.32028960572225262</v>
      </c>
      <c r="P41" s="6">
        <f t="shared" si="6"/>
        <v>32029</v>
      </c>
      <c r="Q41" s="7">
        <v>32029</v>
      </c>
      <c r="R41" s="6">
        <f t="shared" si="7"/>
        <v>0</v>
      </c>
    </row>
    <row r="42" spans="1:18" x14ac:dyDescent="0.45">
      <c r="A42">
        <v>26</v>
      </c>
      <c r="B42">
        <f t="shared" si="0"/>
        <v>66</v>
      </c>
      <c r="C42" s="19">
        <f>INDEX(위험률!$B:$B,B42+2)</f>
        <v>1.098E-2</v>
      </c>
      <c r="D42" s="19">
        <f>INDEX(위험률!$D:$D,B42+2)</f>
        <v>1.452E-2</v>
      </c>
      <c r="E42" s="19">
        <f>INDEX(위험률!$C:$C,B42+2)</f>
        <v>6.8139999999999997E-4</v>
      </c>
      <c r="F42" s="19">
        <f t="shared" si="1"/>
        <v>2.5420285200000003E-2</v>
      </c>
      <c r="G42" s="20">
        <f t="shared" si="8"/>
        <v>77621.779182199607</v>
      </c>
      <c r="H42" s="20">
        <f t="shared" si="9"/>
        <v>76909.918606633597</v>
      </c>
      <c r="I42" s="20">
        <f t="shared" si="2"/>
        <v>40847.275343598543</v>
      </c>
      <c r="J42" s="20">
        <f t="shared" si="3"/>
        <v>40472.669591930004</v>
      </c>
      <c r="K42" s="20">
        <f t="shared" si="4"/>
        <v>585.82483184681382</v>
      </c>
      <c r="L42" s="21">
        <f t="shared" si="5"/>
        <v>1</v>
      </c>
      <c r="M42" s="20">
        <f>SUM(I42:$I$76)</f>
        <v>499548.13216445514</v>
      </c>
      <c r="N42" s="20">
        <f>SUM(J42:$J$76)</f>
        <v>490207.28949458158</v>
      </c>
      <c r="O42" s="22">
        <f>IF(I42&lt;=0,0,(IF(A42&lt;$B$4,SUMPRODUCT(L42:$L$75,K42:$K$75),0)+베타후*(INDEX($M$16:$M$76,MAX(A42,$B$5)+1)-$M$76)-IF(A42&lt;=$B$5,$E$13*(N42-INDEX($N$16:$N$76,$B$5+1)),0))/I42)</f>
        <v>0.3212485992879851</v>
      </c>
      <c r="P42" s="6">
        <f t="shared" si="6"/>
        <v>32125</v>
      </c>
      <c r="Q42" s="7">
        <v>32125</v>
      </c>
      <c r="R42" s="6">
        <f t="shared" si="7"/>
        <v>0</v>
      </c>
    </row>
    <row r="43" spans="1:18" x14ac:dyDescent="0.45">
      <c r="A43">
        <v>27</v>
      </c>
      <c r="B43">
        <f t="shared" si="0"/>
        <v>67</v>
      </c>
      <c r="C43" s="19">
        <f>INDEX(위험률!$B:$B,B43+2)</f>
        <v>1.238E-2</v>
      </c>
      <c r="D43" s="19">
        <f>INDEX(위험률!$D:$D,B43+2)</f>
        <v>1.5879999999999998E-2</v>
      </c>
      <c r="E43" s="19">
        <f>INDEX(위험률!$C:$C,B43+2)</f>
        <v>7.3590000000000005E-4</v>
      </c>
      <c r="F43" s="19">
        <f t="shared" si="1"/>
        <v>2.8161702800000001E-2</v>
      </c>
      <c r="G43" s="20">
        <f t="shared" si="8"/>
        <v>75648.611417656663</v>
      </c>
      <c r="H43" s="20">
        <f t="shared" si="9"/>
        <v>74903.484597273404</v>
      </c>
      <c r="I43" s="20">
        <f t="shared" si="2"/>
        <v>38837.97654119155</v>
      </c>
      <c r="J43" s="20">
        <f t="shared" si="3"/>
        <v>38455.428634125761</v>
      </c>
      <c r="K43" s="20">
        <f t="shared" si="4"/>
        <v>609.17933219103202</v>
      </c>
      <c r="L43" s="21">
        <f t="shared" si="5"/>
        <v>1</v>
      </c>
      <c r="M43" s="20">
        <f>SUM(I43:$I$76)</f>
        <v>458700.85682085657</v>
      </c>
      <c r="N43" s="20">
        <f>SUM(J43:$J$76)</f>
        <v>449734.61990265158</v>
      </c>
      <c r="O43" s="22">
        <f>IF(I43&lt;=0,0,(IF(A43&lt;$B$4,SUMPRODUCT(L43:$L$75,K43:$K$75),0)+베타후*(INDEX($M$16:$M$76,MAX(A43,$B$5)+1)-$M$76)-IF(A43&lt;=$B$5,$E$13*(N43-INDEX($N$16:$N$76,$B$5+1)),0))/I43)</f>
        <v>0.32173297876161477</v>
      </c>
      <c r="P43" s="6">
        <f t="shared" si="6"/>
        <v>32173</v>
      </c>
      <c r="Q43" s="7">
        <v>32173</v>
      </c>
      <c r="R43" s="6">
        <f t="shared" si="7"/>
        <v>0</v>
      </c>
    </row>
    <row r="44" spans="1:18" x14ac:dyDescent="0.45">
      <c r="A44">
        <v>28</v>
      </c>
      <c r="B44">
        <f t="shared" si="0"/>
        <v>68</v>
      </c>
      <c r="C44" s="19">
        <f>INDEX(위험률!$B:$B,B44+2)</f>
        <v>1.4080000000000001E-2</v>
      </c>
      <c r="D44" s="19">
        <f>INDEX(위험률!$D:$D,B44+2)</f>
        <v>1.7309999999999999E-2</v>
      </c>
      <c r="E44" s="19">
        <f>INDEX(위험률!$C:$C,B44+2)</f>
        <v>7.9869999999999995E-4</v>
      </c>
      <c r="F44" s="19">
        <f t="shared" si="1"/>
        <v>3.1268137600000002E-2</v>
      </c>
      <c r="G44" s="20">
        <f t="shared" si="8"/>
        <v>73518.217705679926</v>
      </c>
      <c r="H44" s="20">
        <f t="shared" si="9"/>
        <v>72740.164563697021</v>
      </c>
      <c r="I44" s="20">
        <f t="shared" si="2"/>
        <v>36823.641939985508</v>
      </c>
      <c r="J44" s="20">
        <f t="shared" si="3"/>
        <v>36433.932406691885</v>
      </c>
      <c r="K44" s="20">
        <f t="shared" si="4"/>
        <v>629.59587531953468</v>
      </c>
      <c r="L44" s="21">
        <f t="shared" si="5"/>
        <v>1</v>
      </c>
      <c r="M44" s="20">
        <f>SUM(I44:$I$76)</f>
        <v>419862.88027966511</v>
      </c>
      <c r="N44" s="20">
        <f>SUM(J44:$J$76)</f>
        <v>411279.19126852584</v>
      </c>
      <c r="O44" s="22">
        <f>IF(I44&lt;=0,0,(IF(A44&lt;$B$4,SUMPRODUCT(L44:$L$75,K44:$K$75),0)+베타후*(INDEX($M$16:$M$76,MAX(A44,$B$5)+1)-$M$76)-IF(A44&lt;=$B$5,$E$13*(N44-INDEX($N$16:$N$76,$B$5+1)),0))/I44)</f>
        <v>0.32173462343153858</v>
      </c>
      <c r="P44" s="6">
        <f t="shared" si="6"/>
        <v>32173</v>
      </c>
      <c r="Q44" s="7">
        <v>32173</v>
      </c>
      <c r="R44" s="6">
        <f t="shared" si="7"/>
        <v>0</v>
      </c>
    </row>
    <row r="45" spans="1:18" x14ac:dyDescent="0.45">
      <c r="A45">
        <v>29</v>
      </c>
      <c r="B45">
        <f t="shared" si="0"/>
        <v>69</v>
      </c>
      <c r="C45" s="19">
        <f>INDEX(위험률!$B:$B,B45+2)</f>
        <v>1.6E-2</v>
      </c>
      <c r="D45" s="19">
        <f>INDEX(위험률!$D:$D,B45+2)</f>
        <v>1.8769999999999998E-2</v>
      </c>
      <c r="E45" s="19">
        <f>INDEX(위험률!$C:$C,B45+2)</f>
        <v>8.6510000000000005E-4</v>
      </c>
      <c r="F45" s="19">
        <f t="shared" si="1"/>
        <v>3.4619839999999992E-2</v>
      </c>
      <c r="G45" s="20">
        <f t="shared" si="8"/>
        <v>71219.43995835197</v>
      </c>
      <c r="H45" s="20">
        <f t="shared" si="9"/>
        <v>70409.025115542216</v>
      </c>
      <c r="I45" s="20">
        <f t="shared" si="2"/>
        <v>34802.180718900396</v>
      </c>
      <c r="J45" s="20">
        <f t="shared" si="3"/>
        <v>34406.162386921969</v>
      </c>
      <c r="K45" s="20">
        <f t="shared" si="4"/>
        <v>645.22145145358593</v>
      </c>
      <c r="L45" s="21">
        <f t="shared" si="5"/>
        <v>1</v>
      </c>
      <c r="M45" s="20">
        <f>SUM(I45:$I$76)</f>
        <v>383039.23833967955</v>
      </c>
      <c r="N45" s="20">
        <f>SUM(J45:$J$76)</f>
        <v>374845.25886183389</v>
      </c>
      <c r="O45" s="22">
        <f>IF(I45&lt;=0,0,(IF(A45&lt;$B$4,SUMPRODUCT(L45:$L$75,K45:$K$75),0)+베타후*(INDEX($M$16:$M$76,MAX(A45,$B$5)+1)-$M$76)-IF(A45&lt;=$B$5,$E$13*(N45-INDEX($N$16:$N$76,$B$5+1)),0))/I45)</f>
        <v>0.32127357610114726</v>
      </c>
      <c r="P45" s="6">
        <f t="shared" si="6"/>
        <v>32127</v>
      </c>
      <c r="Q45" s="7">
        <v>32127</v>
      </c>
      <c r="R45" s="6">
        <f t="shared" si="7"/>
        <v>0</v>
      </c>
    </row>
    <row r="46" spans="1:18" x14ac:dyDescent="0.45">
      <c r="A46">
        <v>30</v>
      </c>
      <c r="B46">
        <f t="shared" si="0"/>
        <v>70</v>
      </c>
      <c r="C46" s="19">
        <f>INDEX(위험률!$B:$B,B46+2)</f>
        <v>1.7989999999999999E-2</v>
      </c>
      <c r="D46" s="19">
        <f>INDEX(위험률!$D:$D,B46+2)</f>
        <v>2.0209999999999999E-2</v>
      </c>
      <c r="E46" s="19">
        <f>INDEX(위험률!$C:$C,B46+2)</f>
        <v>1.0449999999999999E-3</v>
      </c>
      <c r="F46" s="19">
        <f t="shared" si="1"/>
        <v>3.801821105E-2</v>
      </c>
      <c r="G46" s="20">
        <f t="shared" si="8"/>
        <v>68753.834342104223</v>
      </c>
      <c r="H46" s="20">
        <f t="shared" si="9"/>
        <v>67912.186520876814</v>
      </c>
      <c r="I46" s="20">
        <f t="shared" si="2"/>
        <v>32777.887600742433</v>
      </c>
      <c r="J46" s="20">
        <f t="shared" si="3"/>
        <v>32376.638158473761</v>
      </c>
      <c r="K46" s="20">
        <f t="shared" si="4"/>
        <v>654.31268881490894</v>
      </c>
      <c r="L46" s="21">
        <f t="shared" si="5"/>
        <v>1</v>
      </c>
      <c r="M46" s="20">
        <f>SUM(I46:$I$76)</f>
        <v>348237.05762077915</v>
      </c>
      <c r="N46" s="20">
        <f>SUM(J46:$J$76)</f>
        <v>340439.09647491196</v>
      </c>
      <c r="O46" s="22">
        <f>IF(I46&lt;=0,0,(IF(A46&lt;$B$4,SUMPRODUCT(L46:$L$75,K46:$K$75),0)+베타후*(INDEX($M$16:$M$76,MAX(A46,$B$5)+1)-$M$76)-IF(A46&lt;=$B$5,$E$13*(N46-INDEX($N$16:$N$76,$B$5+1)),0))/I46)</f>
        <v>0.32036833951646071</v>
      </c>
      <c r="P46" s="6">
        <f t="shared" si="6"/>
        <v>32037</v>
      </c>
      <c r="Q46" s="7">
        <v>32037</v>
      </c>
      <c r="R46" s="6">
        <f t="shared" si="7"/>
        <v>0</v>
      </c>
    </row>
    <row r="47" spans="1:18" x14ac:dyDescent="0.45">
      <c r="A47">
        <v>31</v>
      </c>
      <c r="B47">
        <f t="shared" si="0"/>
        <v>71</v>
      </c>
      <c r="C47" s="19">
        <f>INDEX(위험률!$B:$B,B47+2)</f>
        <v>1.9900000000000001E-2</v>
      </c>
      <c r="D47" s="19">
        <f>INDEX(위험률!$D:$D,B47+2)</f>
        <v>2.1559999999999999E-2</v>
      </c>
      <c r="E47" s="19">
        <f>INDEX(위험률!$C:$C,B47+2)</f>
        <v>1.1176000000000001E-3</v>
      </c>
      <c r="F47" s="19">
        <f t="shared" si="1"/>
        <v>4.1245477999999995E-2</v>
      </c>
      <c r="G47" s="20">
        <f t="shared" si="8"/>
        <v>66139.936557589361</v>
      </c>
      <c r="H47" s="20">
        <f t="shared" si="9"/>
        <v>65261.37817200461</v>
      </c>
      <c r="I47" s="20">
        <f t="shared" si="2"/>
        <v>30762.664343574856</v>
      </c>
      <c r="J47" s="20">
        <f t="shared" si="3"/>
        <v>30354.033822763216</v>
      </c>
      <c r="K47" s="20">
        <f t="shared" si="4"/>
        <v>655.10478358747412</v>
      </c>
      <c r="L47" s="21">
        <f t="shared" si="5"/>
        <v>1</v>
      </c>
      <c r="M47" s="20">
        <f>SUM(I47:$I$76)</f>
        <v>315459.17002003669</v>
      </c>
      <c r="N47" s="20">
        <f>SUM(J47:$J$76)</f>
        <v>308062.45831643819</v>
      </c>
      <c r="O47" s="22">
        <f>IF(I47&lt;=0,0,(IF(A47&lt;$B$4,SUMPRODUCT(L47:$L$75,K47:$K$75),0)+베타후*(INDEX($M$16:$M$76,MAX(A47,$B$5)+1)-$M$76)-IF(A47&lt;=$B$5,$E$13*(N47-INDEX($N$16:$N$76,$B$5+1)),0))/I47)</f>
        <v>0.31902005422820723</v>
      </c>
      <c r="P47" s="6">
        <f t="shared" si="6"/>
        <v>31902</v>
      </c>
      <c r="Q47" s="7">
        <v>31902</v>
      </c>
      <c r="R47" s="6">
        <f t="shared" si="7"/>
        <v>0</v>
      </c>
    </row>
    <row r="48" spans="1:18" x14ac:dyDescent="0.45">
      <c r="A48">
        <v>32</v>
      </c>
      <c r="B48">
        <f t="shared" ref="B48:B79" si="10">가입나이+A48</f>
        <v>72</v>
      </c>
      <c r="C48" s="19">
        <f>INDEX(위험률!$B:$B,B48+2)</f>
        <v>2.1590000000000002E-2</v>
      </c>
      <c r="D48" s="19">
        <f>INDEX(위험률!$D:$D,B48+2)</f>
        <v>2.281E-2</v>
      </c>
      <c r="E48" s="19">
        <f>INDEX(위험률!$C:$C,B48+2)</f>
        <v>1.1942999999999999E-3</v>
      </c>
      <c r="F48" s="19">
        <f t="shared" ref="F48:F76" si="11">MIN(1,C48+D48-C48*D48/2)</f>
        <v>4.4153766050000001E-2</v>
      </c>
      <c r="G48" s="20">
        <f t="shared" si="8"/>
        <v>63411.963259381911</v>
      </c>
      <c r="H48" s="20">
        <f t="shared" si="9"/>
        <v>62498.987888737829</v>
      </c>
      <c r="I48" s="20">
        <f t="shared" ref="I48:I76" si="12">G48*현가율^A48</f>
        <v>28774.481510410293</v>
      </c>
      <c r="J48" s="20">
        <f t="shared" ref="J48:J76" si="13">H48*현가율^A48</f>
        <v>28360.200173391899</v>
      </c>
      <c r="K48" s="20">
        <f t="shared" ref="K48:K76" si="14">G48*D48*현가율^(A48+0.5)</f>
        <v>648.29229403675413</v>
      </c>
      <c r="L48" s="21">
        <f t="shared" ref="L48:L76" si="15">IF(A48=0,$B$7,1)</f>
        <v>1</v>
      </c>
      <c r="M48" s="20">
        <f>SUM(I48:$I$76)</f>
        <v>284696.50567646185</v>
      </c>
      <c r="N48" s="20">
        <f>SUM(J48:$J$76)</f>
        <v>277708.42449367495</v>
      </c>
      <c r="O48" s="22">
        <f>IF(I48&lt;=0,0,(IF(A48&lt;$B$4,SUMPRODUCT(L48:$L$75,K48:$K$75),0)+베타후*(INDEX($M$16:$M$76,MAX(A48,$B$5)+1)-$M$76)-IF(A48&lt;=$B$5,$E$13*(N48-INDEX($N$16:$N$76,$B$5+1)),0))/I48)</f>
        <v>0.31722689410955723</v>
      </c>
      <c r="P48" s="6">
        <f t="shared" ref="P48:P79" si="16">ROUND(O48*100000,0)</f>
        <v>31723</v>
      </c>
      <c r="Q48" s="7">
        <v>31723</v>
      </c>
      <c r="R48" s="6">
        <f t="shared" ref="R48:R79" si="17">P48-Q48</f>
        <v>0</v>
      </c>
    </row>
    <row r="49" spans="1:18" x14ac:dyDescent="0.45">
      <c r="A49">
        <v>33</v>
      </c>
      <c r="B49">
        <f t="shared" si="10"/>
        <v>73</v>
      </c>
      <c r="C49" s="19">
        <f>INDEX(위험률!$B:$B,B49+2)</f>
        <v>2.2970000000000001E-2</v>
      </c>
      <c r="D49" s="19">
        <f>INDEX(위험률!$D:$D,B49+2)</f>
        <v>2.3980000000000001E-2</v>
      </c>
      <c r="E49" s="19">
        <f>INDEX(위험률!$C:$C,B49+2)</f>
        <v>1.2696999999999999E-3</v>
      </c>
      <c r="F49" s="19">
        <f t="shared" si="11"/>
        <v>4.6674589700000005E-2</v>
      </c>
      <c r="G49" s="20">
        <f t="shared" ref="G49:G76" si="18">G48*MAX(0,1-F48)</f>
        <v>60612.086268855965</v>
      </c>
      <c r="H49" s="20">
        <f t="shared" ref="H49:H76" si="19">H48*MAX(0,1-MIN(1,C48+(1-(1-D48)*(1-E48))-C48*(1-(1-D48)*(1-E48))/2))</f>
        <v>59667.269640971652</v>
      </c>
      <c r="I49" s="20">
        <f t="shared" si="12"/>
        <v>26833.151010331305</v>
      </c>
      <c r="J49" s="20">
        <f t="shared" si="13"/>
        <v>26414.877876807466</v>
      </c>
      <c r="K49" s="20">
        <f t="shared" si="14"/>
        <v>635.56346023404467</v>
      </c>
      <c r="L49" s="21">
        <f t="shared" si="15"/>
        <v>1</v>
      </c>
      <c r="M49" s="20">
        <f>SUM(I49:$I$76)</f>
        <v>255922.02416605156</v>
      </c>
      <c r="N49" s="20">
        <f>SUM(J49:$J$76)</f>
        <v>249348.22432028313</v>
      </c>
      <c r="O49" s="22">
        <f>IF(I49&lt;=0,0,(IF(A49&lt;$B$4,SUMPRODUCT(L49:$L$75,K49:$K$75),0)+베타후*(INDEX($M$16:$M$76,MAX(A49,$B$5)+1)-$M$76)-IF(A49&lt;=$B$5,$E$13*(N49-INDEX($N$16:$N$76,$B$5+1)),0))/I49)</f>
        <v>0.31494521908214873</v>
      </c>
      <c r="P49" s="6">
        <f t="shared" si="16"/>
        <v>31495</v>
      </c>
      <c r="Q49" s="7">
        <v>31495</v>
      </c>
      <c r="R49" s="6">
        <f t="shared" si="17"/>
        <v>0</v>
      </c>
    </row>
    <row r="50" spans="1:18" x14ac:dyDescent="0.45">
      <c r="A50">
        <v>34</v>
      </c>
      <c r="B50">
        <f t="shared" si="10"/>
        <v>74</v>
      </c>
      <c r="C50" s="19">
        <f>INDEX(위험률!$B:$B,B50+2)</f>
        <v>2.4109999999999999E-2</v>
      </c>
      <c r="D50" s="19">
        <f>INDEX(위험률!$D:$D,B50+2)</f>
        <v>2.5100000000000001E-2</v>
      </c>
      <c r="E50" s="19">
        <f>INDEX(위험률!$C:$C,B50+2)</f>
        <v>1.3387E-3</v>
      </c>
      <c r="F50" s="19">
        <f t="shared" si="11"/>
        <v>4.89074195E-2</v>
      </c>
      <c r="G50" s="20">
        <f t="shared" si="18"/>
        <v>57783.042011396108</v>
      </c>
      <c r="H50" s="20">
        <f t="shared" si="19"/>
        <v>56809.230726553098</v>
      </c>
      <c r="I50" s="20">
        <f t="shared" si="12"/>
        <v>24956.804582015564</v>
      </c>
      <c r="J50" s="20">
        <f t="shared" si="13"/>
        <v>24536.210284976038</v>
      </c>
      <c r="K50" s="20">
        <f t="shared" si="14"/>
        <v>618.72942053876773</v>
      </c>
      <c r="L50" s="21">
        <f t="shared" si="15"/>
        <v>1</v>
      </c>
      <c r="M50" s="20">
        <f>SUM(I50:$I$76)</f>
        <v>229088.87315572024</v>
      </c>
      <c r="N50" s="20">
        <f>SUM(J50:$J$76)</f>
        <v>222933.34644347566</v>
      </c>
      <c r="O50" s="22">
        <f>IF(I50&lt;=0,0,(IF(A50&lt;$B$4,SUMPRODUCT(L50:$L$75,K50:$K$75),0)+베타후*(INDEX($M$16:$M$76,MAX(A50,$B$5)+1)-$M$76)-IF(A50&lt;=$B$5,$E$13*(N50-INDEX($N$16:$N$76,$B$5+1)),0))/I50)</f>
        <v>0.31208226144389584</v>
      </c>
      <c r="P50" s="6">
        <f t="shared" si="16"/>
        <v>31208</v>
      </c>
      <c r="Q50" s="7">
        <v>31208</v>
      </c>
      <c r="R50" s="6">
        <f t="shared" si="17"/>
        <v>0</v>
      </c>
    </row>
    <row r="51" spans="1:18" x14ac:dyDescent="0.45">
      <c r="A51">
        <v>35</v>
      </c>
      <c r="B51">
        <f t="shared" si="10"/>
        <v>75</v>
      </c>
      <c r="C51" s="19">
        <f>INDEX(위험률!$B:$B,B51+2)</f>
        <v>2.529E-2</v>
      </c>
      <c r="D51" s="19">
        <f>INDEX(위험률!$D:$D,B51+2)</f>
        <v>2.6259999999999999E-2</v>
      </c>
      <c r="E51" s="19">
        <f>INDEX(위험률!$C:$C,B51+2)</f>
        <v>1.3997E-3</v>
      </c>
      <c r="F51" s="19">
        <f t="shared" si="11"/>
        <v>5.1217942299999999E-2</v>
      </c>
      <c r="G51" s="20">
        <f t="shared" si="18"/>
        <v>54957.022535758639</v>
      </c>
      <c r="H51" s="20">
        <f t="shared" si="19"/>
        <v>53957.589976325711</v>
      </c>
      <c r="I51" s="20">
        <f t="shared" si="12"/>
        <v>23157.299191164304</v>
      </c>
      <c r="J51" s="20">
        <f t="shared" si="13"/>
        <v>22736.167227817485</v>
      </c>
      <c r="K51" s="20">
        <f t="shared" si="14"/>
        <v>600.64891347443904</v>
      </c>
      <c r="L51" s="21">
        <f t="shared" si="15"/>
        <v>1</v>
      </c>
      <c r="M51" s="20">
        <f>SUM(I51:$I$76)</f>
        <v>204132.06857370472</v>
      </c>
      <c r="N51" s="20">
        <f>SUM(J51:$J$76)</f>
        <v>198397.13615849966</v>
      </c>
      <c r="O51" s="22">
        <f>IF(I51&lt;=0,0,(IF(A51&lt;$B$4,SUMPRODUCT(L51:$L$75,K51:$K$75),0)+베타후*(INDEX($M$16:$M$76,MAX(A51,$B$5)+1)-$M$76)-IF(A51&lt;=$B$5,$E$13*(N51-INDEX($N$16:$N$76,$B$5+1)),0))/I51)</f>
        <v>0.30853726629632861</v>
      </c>
      <c r="P51" s="6">
        <f t="shared" si="16"/>
        <v>30854</v>
      </c>
      <c r="Q51" s="7">
        <v>30854</v>
      </c>
      <c r="R51" s="6">
        <f t="shared" si="17"/>
        <v>0</v>
      </c>
    </row>
    <row r="52" spans="1:18" x14ac:dyDescent="0.45">
      <c r="A52">
        <v>36</v>
      </c>
      <c r="B52">
        <f t="shared" si="10"/>
        <v>76</v>
      </c>
      <c r="C52" s="19">
        <f>INDEX(위험률!$B:$B,B52+2)</f>
        <v>2.6939999999999999E-2</v>
      </c>
      <c r="D52" s="19">
        <f>INDEX(위험률!$D:$D,B52+2)</f>
        <v>2.7560000000000001E-2</v>
      </c>
      <c r="E52" s="19">
        <f>INDEX(위험률!$C:$C,B52+2)</f>
        <v>1.4476999999999999E-3</v>
      </c>
      <c r="F52" s="19">
        <f t="shared" si="11"/>
        <v>5.4128766799999999E-2</v>
      </c>
      <c r="G52" s="20">
        <f t="shared" si="18"/>
        <v>52142.236926542355</v>
      </c>
      <c r="H52" s="20">
        <f t="shared" si="19"/>
        <v>51121.382007397166</v>
      </c>
      <c r="I52" s="20">
        <f t="shared" si="12"/>
        <v>21435.346319382843</v>
      </c>
      <c r="J52" s="20">
        <f t="shared" si="13"/>
        <v>21015.679269721153</v>
      </c>
      <c r="K52" s="20">
        <f t="shared" si="14"/>
        <v>583.50930384587366</v>
      </c>
      <c r="L52" s="21">
        <f t="shared" si="15"/>
        <v>1</v>
      </c>
      <c r="M52" s="20">
        <f>SUM(I52:$I$76)</f>
        <v>180974.76938254043</v>
      </c>
      <c r="N52" s="20">
        <f>SUM(J52:$J$76)</f>
        <v>175660.96893068214</v>
      </c>
      <c r="O52" s="22">
        <f>IF(I52&lt;=0,0,(IF(A52&lt;$B$4,SUMPRODUCT(L52:$L$75,K52:$K$75),0)+베타후*(INDEX($M$16:$M$76,MAX(A52,$B$5)+1)-$M$76)-IF(A52&lt;=$B$5,$E$13*(N52-INDEX($N$16:$N$76,$B$5+1)),0))/I52)</f>
        <v>0.30422105047520243</v>
      </c>
      <c r="P52" s="6">
        <f t="shared" si="16"/>
        <v>30422</v>
      </c>
      <c r="Q52" s="7">
        <v>30422</v>
      </c>
      <c r="R52" s="6">
        <f t="shared" si="17"/>
        <v>0</v>
      </c>
    </row>
    <row r="53" spans="1:18" x14ac:dyDescent="0.45">
      <c r="A53">
        <v>37</v>
      </c>
      <c r="B53">
        <f t="shared" si="10"/>
        <v>77</v>
      </c>
      <c r="C53" s="19">
        <f>INDEX(위험률!$B:$B,B53+2)</f>
        <v>2.9420000000000002E-2</v>
      </c>
      <c r="D53" s="19">
        <f>INDEX(위험률!$D:$D,B53+2)</f>
        <v>2.9090000000000001E-2</v>
      </c>
      <c r="E53" s="19">
        <f>INDEX(위험률!$C:$C,B53+2)</f>
        <v>1.4877E-3</v>
      </c>
      <c r="F53" s="19">
        <f t="shared" si="11"/>
        <v>5.8082086100000006E-2</v>
      </c>
      <c r="G53" s="20">
        <f t="shared" si="18"/>
        <v>49319.841943515195</v>
      </c>
      <c r="H53" s="20">
        <f t="shared" si="19"/>
        <v>48283.245308775353</v>
      </c>
      <c r="I53" s="20">
        <f t="shared" si="12"/>
        <v>19780.56337286218</v>
      </c>
      <c r="J53" s="20">
        <f t="shared" si="13"/>
        <v>19364.818621509359</v>
      </c>
      <c r="K53" s="20">
        <f t="shared" si="14"/>
        <v>568.3559948809459</v>
      </c>
      <c r="L53" s="21">
        <f t="shared" si="15"/>
        <v>1</v>
      </c>
      <c r="M53" s="20">
        <f>SUM(I53:$I$76)</f>
        <v>159539.42306315759</v>
      </c>
      <c r="N53" s="20">
        <f>SUM(J53:$J$76)</f>
        <v>154645.28966096102</v>
      </c>
      <c r="O53" s="22">
        <f>IF(I53&lt;=0,0,(IF(A53&lt;$B$4,SUMPRODUCT(L53:$L$75,K53:$K$75),0)+베타후*(INDEX($M$16:$M$76,MAX(A53,$B$5)+1)-$M$76)-IF(A53&lt;=$B$5,$E$13*(N53-INDEX($N$16:$N$76,$B$5+1)),0))/I53)</f>
        <v>0.29908849474599725</v>
      </c>
      <c r="P53" s="6">
        <f t="shared" si="16"/>
        <v>29909</v>
      </c>
      <c r="Q53" s="7">
        <v>29909</v>
      </c>
      <c r="R53" s="6">
        <f t="shared" si="17"/>
        <v>0</v>
      </c>
    </row>
    <row r="54" spans="1:18" x14ac:dyDescent="0.45">
      <c r="A54">
        <v>38</v>
      </c>
      <c r="B54">
        <f t="shared" si="10"/>
        <v>78</v>
      </c>
      <c r="C54" s="19">
        <f>INDEX(위험률!$B:$B,B54+2)</f>
        <v>3.2829999999999998E-2</v>
      </c>
      <c r="D54" s="19">
        <f>INDEX(위험률!$D:$D,B54+2)</f>
        <v>3.0939999999999999E-2</v>
      </c>
      <c r="E54" s="19">
        <f>INDEX(위험률!$C:$C,B54+2)</f>
        <v>1.5166999999999999E-3</v>
      </c>
      <c r="F54" s="19">
        <f t="shared" si="11"/>
        <v>6.3262119899999997E-2</v>
      </c>
      <c r="G54" s="20">
        <f t="shared" si="18"/>
        <v>46455.242637313553</v>
      </c>
      <c r="H54" s="20">
        <f t="shared" si="19"/>
        <v>45410.13817314247</v>
      </c>
      <c r="I54" s="20">
        <f t="shared" si="12"/>
        <v>18177.236085788383</v>
      </c>
      <c r="J54" s="20">
        <f t="shared" si="13"/>
        <v>17768.302464929617</v>
      </c>
      <c r="K54" s="20">
        <f t="shared" si="14"/>
        <v>555.50276443979112</v>
      </c>
      <c r="L54" s="21">
        <f t="shared" si="15"/>
        <v>1</v>
      </c>
      <c r="M54" s="20">
        <f>SUM(I54:$I$76)</f>
        <v>139758.85969029539</v>
      </c>
      <c r="N54" s="20">
        <f>SUM(J54:$J$76)</f>
        <v>135280.47103945163</v>
      </c>
      <c r="O54" s="22">
        <f>IF(I54&lt;=0,0,(IF(A54&lt;$B$4,SUMPRODUCT(L54:$L$75,K54:$K$75),0)+베타후*(INDEX($M$16:$M$76,MAX(A54,$B$5)+1)-$M$76)-IF(A54&lt;=$B$5,$E$13*(N54-INDEX($N$16:$N$76,$B$5+1)),0))/I54)</f>
        <v>0.29311399934608168</v>
      </c>
      <c r="P54" s="6">
        <f t="shared" si="16"/>
        <v>29311</v>
      </c>
      <c r="Q54" s="7">
        <v>29311</v>
      </c>
      <c r="R54" s="6">
        <f t="shared" si="17"/>
        <v>0</v>
      </c>
    </row>
    <row r="55" spans="1:18" x14ac:dyDescent="0.45">
      <c r="A55">
        <v>39</v>
      </c>
      <c r="B55">
        <f t="shared" si="10"/>
        <v>79</v>
      </c>
      <c r="C55" s="19">
        <f>INDEX(위험률!$B:$B,B55+2)</f>
        <v>3.7080000000000002E-2</v>
      </c>
      <c r="D55" s="19">
        <f>INDEX(위험률!$D:$D,B55+2)</f>
        <v>3.3119999999999997E-2</v>
      </c>
      <c r="E55" s="19">
        <f>INDEX(위험률!$C:$C,B55+2)</f>
        <v>1.5407000000000001E-3</v>
      </c>
      <c r="F55" s="19">
        <f t="shared" si="11"/>
        <v>6.9585955199999994E-2</v>
      </c>
      <c r="G55" s="20">
        <f t="shared" si="18"/>
        <v>43516.385507608233</v>
      </c>
      <c r="H55" s="20">
        <f t="shared" si="19"/>
        <v>42471.749538552802</v>
      </c>
      <c r="I55" s="20">
        <f t="shared" si="12"/>
        <v>16612.00546056452</v>
      </c>
      <c r="J55" s="20">
        <f t="shared" si="13"/>
        <v>16213.224674434732</v>
      </c>
      <c r="K55" s="20">
        <f t="shared" si="14"/>
        <v>543.43857228681054</v>
      </c>
      <c r="L55" s="21">
        <f t="shared" si="15"/>
        <v>1</v>
      </c>
      <c r="M55" s="20">
        <f>SUM(I55:$I$76)</f>
        <v>121581.62360450703</v>
      </c>
      <c r="N55" s="20">
        <f>SUM(J55:$J$76)</f>
        <v>117512.168574522</v>
      </c>
      <c r="O55" s="22">
        <f>IF(I55&lt;=0,0,(IF(A55&lt;$B$4,SUMPRODUCT(L55:$L$75,K55:$K$75),0)+베타후*(INDEX($M$16:$M$76,MAX(A55,$B$5)+1)-$M$76)-IF(A55&lt;=$B$5,$E$13*(N55-INDEX($N$16:$N$76,$B$5+1)),0))/I55)</f>
        <v>0.28619797753643433</v>
      </c>
      <c r="P55" s="6">
        <f t="shared" si="16"/>
        <v>28620</v>
      </c>
      <c r="Q55" s="7">
        <v>28620</v>
      </c>
      <c r="R55" s="6">
        <f t="shared" si="17"/>
        <v>0</v>
      </c>
    </row>
    <row r="56" spans="1:18" x14ac:dyDescent="0.45">
      <c r="A56">
        <v>40</v>
      </c>
      <c r="B56">
        <f t="shared" si="10"/>
        <v>80</v>
      </c>
      <c r="C56" s="19">
        <f>INDEX(위험률!$B:$B,B56+2)</f>
        <v>4.215E-2</v>
      </c>
      <c r="D56" s="19">
        <f>INDEX(위험률!$D:$D,B56+2)</f>
        <v>3.5450000000000002E-2</v>
      </c>
      <c r="E56" s="19">
        <f>INDEX(위험률!$C:$C,B56+2)</f>
        <v>1.5625999999999999E-3</v>
      </c>
      <c r="F56" s="19">
        <f t="shared" si="11"/>
        <v>7.6852891249999999E-2</v>
      </c>
      <c r="G56" s="20">
        <f t="shared" si="18"/>
        <v>40488.256255209875</v>
      </c>
      <c r="H56" s="20">
        <f t="shared" si="19"/>
        <v>39454.216307968403</v>
      </c>
      <c r="I56" s="20">
        <f t="shared" si="12"/>
        <v>15079.06652956441</v>
      </c>
      <c r="J56" s="20">
        <f t="shared" si="13"/>
        <v>14693.958387084824</v>
      </c>
      <c r="K56" s="20">
        <f t="shared" si="14"/>
        <v>527.99372867395959</v>
      </c>
      <c r="L56" s="21">
        <f t="shared" si="15"/>
        <v>1</v>
      </c>
      <c r="M56" s="20">
        <f>SUM(I56:$I$76)</f>
        <v>104969.61814394248</v>
      </c>
      <c r="N56" s="20">
        <f>SUM(J56:$J$76)</f>
        <v>101298.94390008728</v>
      </c>
      <c r="O56" s="22">
        <f>IF(I56&lt;=0,0,(IF(A56&lt;$B$4,SUMPRODUCT(L56:$L$75,K56:$K$75),0)+베타후*(INDEX($M$16:$M$76,MAX(A56,$B$5)+1)-$M$76)-IF(A56&lt;=$B$5,$E$13*(N56-INDEX($N$16:$N$76,$B$5+1)),0))/I56)</f>
        <v>0.27815195189085457</v>
      </c>
      <c r="P56" s="6">
        <f t="shared" si="16"/>
        <v>27815</v>
      </c>
      <c r="Q56" s="7">
        <v>27815</v>
      </c>
      <c r="R56" s="6">
        <f t="shared" si="17"/>
        <v>0</v>
      </c>
    </row>
    <row r="57" spans="1:18" x14ac:dyDescent="0.45">
      <c r="A57">
        <v>41</v>
      </c>
      <c r="B57">
        <f t="shared" si="10"/>
        <v>81</v>
      </c>
      <c r="C57" s="19">
        <f>INDEX(위험률!$B:$B,B57+2)</f>
        <v>4.8140000000000002E-2</v>
      </c>
      <c r="D57" s="19">
        <f>INDEX(위험률!$D:$D,B57+2)</f>
        <v>3.7659999999999999E-2</v>
      </c>
      <c r="E57" s="19">
        <f>INDEX(위험률!$C:$C,B57+2)</f>
        <v>1.5736000000000001E-3</v>
      </c>
      <c r="F57" s="19">
        <f t="shared" si="11"/>
        <v>8.4893523799999995E-2</v>
      </c>
      <c r="G57" s="20">
        <f t="shared" si="18"/>
        <v>37376.6167003261</v>
      </c>
      <c r="H57" s="20">
        <f t="shared" si="19"/>
        <v>36363.833325904132</v>
      </c>
      <c r="I57" s="20">
        <f t="shared" si="12"/>
        <v>13580.679677479302</v>
      </c>
      <c r="J57" s="20">
        <f t="shared" si="13"/>
        <v>13212.687927423944</v>
      </c>
      <c r="K57" s="20">
        <f t="shared" si="14"/>
        <v>505.17271853400734</v>
      </c>
      <c r="L57" s="21">
        <f t="shared" si="15"/>
        <v>1</v>
      </c>
      <c r="M57" s="20">
        <f>SUM(I57:$I$76)</f>
        <v>89890.55161437807</v>
      </c>
      <c r="N57" s="20">
        <f>SUM(J57:$J$76)</f>
        <v>86604.985513002452</v>
      </c>
      <c r="O57" s="22">
        <f>IF(I57&lt;=0,0,(IF(A57&lt;$B$4,SUMPRODUCT(L57:$L$75,K57:$K$75),0)+베타후*(INDEX($M$16:$M$76,MAX(A57,$B$5)+1)-$M$76)-IF(A57&lt;=$B$5,$E$13*(N57-INDEX($N$16:$N$76,$B$5+1)),0))/I57)</f>
        <v>0.26885244917024409</v>
      </c>
      <c r="P57" s="6">
        <f t="shared" si="16"/>
        <v>26885</v>
      </c>
      <c r="Q57" s="7">
        <v>26885</v>
      </c>
      <c r="R57" s="6">
        <f t="shared" si="17"/>
        <v>0</v>
      </c>
    </row>
    <row r="58" spans="1:18" x14ac:dyDescent="0.45">
      <c r="A58">
        <v>42</v>
      </c>
      <c r="B58">
        <f t="shared" si="10"/>
        <v>82</v>
      </c>
      <c r="C58" s="19">
        <f>INDEX(위험률!$B:$B,B58+2)</f>
        <v>5.5190000000000003E-2</v>
      </c>
      <c r="D58" s="19">
        <f>INDEX(위험률!$D:$D,B58+2)</f>
        <v>3.9480000000000001E-2</v>
      </c>
      <c r="E58" s="19">
        <f>INDEX(위험률!$C:$C,B58+2)</f>
        <v>1.5935999999999999E-3</v>
      </c>
      <c r="F58" s="19">
        <f t="shared" si="11"/>
        <v>9.3580549400000004E-2</v>
      </c>
      <c r="G58" s="20">
        <f t="shared" si="18"/>
        <v>34203.584000913484</v>
      </c>
      <c r="H58" s="20">
        <f t="shared" si="19"/>
        <v>33223.037699342305</v>
      </c>
      <c r="I58" s="20">
        <f t="shared" si="12"/>
        <v>12124.651633228328</v>
      </c>
      <c r="J58" s="20">
        <f t="shared" si="13"/>
        <v>11777.062844974926</v>
      </c>
      <c r="K58" s="20">
        <f t="shared" si="14"/>
        <v>472.8076345092698</v>
      </c>
      <c r="L58" s="21">
        <f t="shared" si="15"/>
        <v>1</v>
      </c>
      <c r="M58" s="20">
        <f>SUM(I58:$I$76)</f>
        <v>76309.87193689878</v>
      </c>
      <c r="N58" s="20">
        <f>SUM(J58:$J$76)</f>
        <v>73392.297585578533</v>
      </c>
      <c r="O58" s="22">
        <f>IF(I58&lt;=0,0,(IF(A58&lt;$B$4,SUMPRODUCT(L58:$L$75,K58:$K$75),0)+베타후*(INDEX($M$16:$M$76,MAX(A58,$B$5)+1)-$M$76)-IF(A58&lt;=$B$5,$E$13*(N58-INDEX($N$16:$N$76,$B$5+1)),0))/I58)</f>
        <v>0.25835345123572301</v>
      </c>
      <c r="P58" s="6">
        <f t="shared" si="16"/>
        <v>25835</v>
      </c>
      <c r="Q58" s="7">
        <v>25835</v>
      </c>
      <c r="R58" s="6">
        <f t="shared" si="17"/>
        <v>0</v>
      </c>
    </row>
    <row r="59" spans="1:18" x14ac:dyDescent="0.45">
      <c r="A59">
        <v>43</v>
      </c>
      <c r="B59">
        <f t="shared" si="10"/>
        <v>83</v>
      </c>
      <c r="C59" s="19">
        <f>INDEX(위험률!$B:$B,B59+2)</f>
        <v>6.3259999999999997E-2</v>
      </c>
      <c r="D59" s="19">
        <f>INDEX(위험률!$D:$D,B59+2)</f>
        <v>4.0739999999999998E-2</v>
      </c>
      <c r="E59" s="19">
        <f>INDEX(위험률!$C:$C,B59+2)</f>
        <v>1.6416E-3</v>
      </c>
      <c r="F59" s="19">
        <f t="shared" si="11"/>
        <v>0.10271139379999999</v>
      </c>
      <c r="G59" s="20">
        <f t="shared" si="18"/>
        <v>31002.793818658949</v>
      </c>
      <c r="H59" s="20">
        <f t="shared" si="19"/>
        <v>30064.556900117263</v>
      </c>
      <c r="I59" s="20">
        <f t="shared" si="12"/>
        <v>10721.970802055817</v>
      </c>
      <c r="J59" s="20">
        <f t="shared" si="13"/>
        <v>10397.492017825722</v>
      </c>
      <c r="K59" s="20">
        <f t="shared" si="14"/>
        <v>431.45321766687766</v>
      </c>
      <c r="L59" s="21">
        <f t="shared" si="15"/>
        <v>1</v>
      </c>
      <c r="M59" s="20">
        <f>SUM(I59:$I$76)</f>
        <v>64185.22030367043</v>
      </c>
      <c r="N59" s="20">
        <f>SUM(J59:$J$76)</f>
        <v>61615.234740603591</v>
      </c>
      <c r="O59" s="22">
        <f>IF(I59&lt;=0,0,(IF(A59&lt;$B$4,SUMPRODUCT(L59:$L$75,K59:$K$75),0)+베타후*(INDEX($M$16:$M$76,MAX(A59,$B$5)+1)-$M$76)-IF(A59&lt;=$B$5,$E$13*(N59-INDEX($N$16:$N$76,$B$5+1)),0))/I59)</f>
        <v>0.24692412964091034</v>
      </c>
      <c r="P59" s="6">
        <f t="shared" si="16"/>
        <v>24692</v>
      </c>
      <c r="Q59" s="7">
        <v>24692</v>
      </c>
      <c r="R59" s="6">
        <f t="shared" si="17"/>
        <v>0</v>
      </c>
    </row>
    <row r="60" spans="1:18" x14ac:dyDescent="0.45">
      <c r="A60">
        <v>44</v>
      </c>
      <c r="B60">
        <f t="shared" si="10"/>
        <v>84</v>
      </c>
      <c r="C60" s="19">
        <f>INDEX(위험률!$B:$B,B60+2)</f>
        <v>7.2139999999999996E-2</v>
      </c>
      <c r="D60" s="19">
        <f>INDEX(위험률!$D:$D,B60+2)</f>
        <v>4.1450000000000001E-2</v>
      </c>
      <c r="E60" s="19">
        <f>INDEX(위험률!$C:$C,B60+2)</f>
        <v>1.7446E-3</v>
      </c>
      <c r="F60" s="19">
        <f t="shared" si="11"/>
        <v>0.1120948985</v>
      </c>
      <c r="G60" s="20">
        <f t="shared" si="18"/>
        <v>27818.453653850465</v>
      </c>
      <c r="H60" s="20">
        <f t="shared" si="19"/>
        <v>26930.738529766393</v>
      </c>
      <c r="I60" s="20">
        <f t="shared" si="12"/>
        <v>9386.0509626280618</v>
      </c>
      <c r="J60" s="20">
        <f t="shared" si="13"/>
        <v>9086.5325386844816</v>
      </c>
      <c r="K60" s="20">
        <f t="shared" si="14"/>
        <v>384.27798973856591</v>
      </c>
      <c r="L60" s="21">
        <f t="shared" si="15"/>
        <v>1</v>
      </c>
      <c r="M60" s="20">
        <f>SUM(I60:$I$76)</f>
        <v>53463.249501614613</v>
      </c>
      <c r="N60" s="20">
        <f>SUM(J60:$J$76)</f>
        <v>51217.742722777875</v>
      </c>
      <c r="O60" s="22">
        <f>IF(I60&lt;=0,0,(IF(A60&lt;$B$4,SUMPRODUCT(L60:$L$75,K60:$K$75),0)+베타후*(INDEX($M$16:$M$76,MAX(A60,$B$5)+1)-$M$76)-IF(A60&lt;=$B$5,$E$13*(N60-INDEX($N$16:$N$76,$B$5+1)),0))/I60)</f>
        <v>0.23495910352978361</v>
      </c>
      <c r="P60" s="6">
        <f t="shared" si="16"/>
        <v>23496</v>
      </c>
      <c r="Q60" s="7">
        <v>23496</v>
      </c>
      <c r="R60" s="6">
        <f t="shared" si="17"/>
        <v>0</v>
      </c>
    </row>
    <row r="61" spans="1:18" x14ac:dyDescent="0.45">
      <c r="A61">
        <v>45</v>
      </c>
      <c r="B61">
        <f t="shared" si="10"/>
        <v>85</v>
      </c>
      <c r="C61" s="19">
        <f>INDEX(위험률!$B:$B,B61+2)</f>
        <v>8.1570000000000004E-2</v>
      </c>
      <c r="D61" s="19">
        <f>INDEX(위험률!$D:$D,B61+2)</f>
        <v>4.1700000000000001E-2</v>
      </c>
      <c r="E61" s="19">
        <f>INDEX(위험률!$C:$C,B61+2)</f>
        <v>1.9196E-3</v>
      </c>
      <c r="F61" s="19">
        <f t="shared" si="11"/>
        <v>0.12156926550000001</v>
      </c>
      <c r="G61" s="20">
        <f t="shared" si="18"/>
        <v>24700.146915095145</v>
      </c>
      <c r="H61" s="20">
        <f t="shared" si="19"/>
        <v>23868.528666967875</v>
      </c>
      <c r="I61" s="20">
        <f t="shared" si="12"/>
        <v>8130.6561294209187</v>
      </c>
      <c r="J61" s="20">
        <f t="shared" si="13"/>
        <v>7856.9086885770739</v>
      </c>
      <c r="K61" s="20">
        <f t="shared" si="14"/>
        <v>334.88810045703389</v>
      </c>
      <c r="L61" s="21">
        <f t="shared" si="15"/>
        <v>1</v>
      </c>
      <c r="M61" s="20">
        <f>SUM(I61:$I$76)</f>
        <v>44077.198538986559</v>
      </c>
      <c r="N61" s="20">
        <f>SUM(J61:$J$76)</f>
        <v>42131.210184093383</v>
      </c>
      <c r="O61" s="22">
        <f>IF(I61&lt;=0,0,(IF(A61&lt;$B$4,SUMPRODUCT(L61:$L$75,K61:$K$75),0)+베타후*(INDEX($M$16:$M$76,MAX(A61,$B$5)+1)-$M$76)-IF(A61&lt;=$B$5,$E$13*(N61-INDEX($N$16:$N$76,$B$5+1)),0))/I61)</f>
        <v>0.22282015747870379</v>
      </c>
      <c r="P61" s="6">
        <f t="shared" si="16"/>
        <v>22282</v>
      </c>
      <c r="Q61" s="7">
        <v>22282</v>
      </c>
      <c r="R61" s="6">
        <f t="shared" si="17"/>
        <v>0</v>
      </c>
    </row>
    <row r="62" spans="1:18" x14ac:dyDescent="0.45">
      <c r="A62">
        <v>46</v>
      </c>
      <c r="B62">
        <f t="shared" si="10"/>
        <v>86</v>
      </c>
      <c r="C62" s="19">
        <f>INDEX(위험률!$B:$B,B62+2)</f>
        <v>9.1450000000000004E-2</v>
      </c>
      <c r="D62" s="19">
        <f>INDEX(위험률!$D:$D,B62+2)</f>
        <v>4.1619999999999997E-2</v>
      </c>
      <c r="E62" s="19">
        <f>INDEX(위험률!$C:$C,B62+2)</f>
        <v>2.1716000000000001E-3</v>
      </c>
      <c r="F62" s="19">
        <f t="shared" si="11"/>
        <v>0.1311669255</v>
      </c>
      <c r="G62" s="20">
        <f t="shared" si="18"/>
        <v>21697.368196884938</v>
      </c>
      <c r="H62" s="20">
        <f t="shared" si="19"/>
        <v>20924.73251643846</v>
      </c>
      <c r="I62" s="20">
        <f t="shared" si="12"/>
        <v>6968.0177909601434</v>
      </c>
      <c r="J62" s="20">
        <f t="shared" si="13"/>
        <v>6719.889118467293</v>
      </c>
      <c r="K62" s="20">
        <f t="shared" si="14"/>
        <v>286.45037427591109</v>
      </c>
      <c r="L62" s="21">
        <f t="shared" si="15"/>
        <v>1</v>
      </c>
      <c r="M62" s="20">
        <f>SUM(I62:$I$76)</f>
        <v>35946.542409565649</v>
      </c>
      <c r="N62" s="20">
        <f>SUM(J62:$J$76)</f>
        <v>34274.301495516309</v>
      </c>
      <c r="O62" s="22">
        <f>IF(I62&lt;=0,0,(IF(A62&lt;$B$4,SUMPRODUCT(L62:$L$75,K62:$K$75),0)+베타후*(INDEX($M$16:$M$76,MAX(A62,$B$5)+1)-$M$76)-IF(A62&lt;=$B$5,$E$13*(N62-INDEX($N$16:$N$76,$B$5+1)),0))/I62)</f>
        <v>0.21077089161305546</v>
      </c>
      <c r="P62" s="6">
        <f t="shared" si="16"/>
        <v>21077</v>
      </c>
      <c r="Q62" s="7">
        <v>21077</v>
      </c>
      <c r="R62" s="6">
        <f t="shared" si="17"/>
        <v>0</v>
      </c>
    </row>
    <row r="63" spans="1:18" x14ac:dyDescent="0.45">
      <c r="A63">
        <v>47</v>
      </c>
      <c r="B63">
        <f t="shared" si="10"/>
        <v>87</v>
      </c>
      <c r="C63" s="19">
        <f>INDEX(위험률!$B:$B,B63+2)</f>
        <v>0.1019</v>
      </c>
      <c r="D63" s="19">
        <f>INDEX(위험률!$D:$D,B63+2)</f>
        <v>4.1340000000000002E-2</v>
      </c>
      <c r="E63" s="19">
        <f>INDEX(위험률!$C:$C,B63+2)</f>
        <v>2.4976E-3</v>
      </c>
      <c r="F63" s="19">
        <f t="shared" si="11"/>
        <v>0.14113372700000001</v>
      </c>
      <c r="G63" s="20">
        <f t="shared" si="18"/>
        <v>18851.391119058062</v>
      </c>
      <c r="H63" s="20">
        <f t="shared" si="19"/>
        <v>18138.542030051554</v>
      </c>
      <c r="I63" s="20">
        <f t="shared" si="12"/>
        <v>5906.3847029176586</v>
      </c>
      <c r="J63" s="20">
        <f t="shared" si="13"/>
        <v>5683.0398617753881</v>
      </c>
      <c r="K63" s="20">
        <f t="shared" si="14"/>
        <v>241.17387992436892</v>
      </c>
      <c r="L63" s="21">
        <f t="shared" si="15"/>
        <v>1</v>
      </c>
      <c r="M63" s="20">
        <f>SUM(I63:$I$76)</f>
        <v>28978.524618605501</v>
      </c>
      <c r="N63" s="20">
        <f>SUM(J63:$J$76)</f>
        <v>27554.412377049022</v>
      </c>
      <c r="O63" s="22">
        <f>IF(I63&lt;=0,0,(IF(A63&lt;$B$4,SUMPRODUCT(L63:$L$75,K63:$K$75),0)+베타후*(INDEX($M$16:$M$76,MAX(A63,$B$5)+1)-$M$76)-IF(A63&lt;=$B$5,$E$13*(N63-INDEX($N$16:$N$76,$B$5+1)),0))/I63)</f>
        <v>0.19897737611450933</v>
      </c>
      <c r="P63" s="6">
        <f t="shared" si="16"/>
        <v>19898</v>
      </c>
      <c r="Q63" s="7">
        <v>19898</v>
      </c>
      <c r="R63" s="6">
        <f t="shared" si="17"/>
        <v>0</v>
      </c>
    </row>
    <row r="64" spans="1:18" x14ac:dyDescent="0.45">
      <c r="A64">
        <v>48</v>
      </c>
      <c r="B64">
        <f t="shared" si="10"/>
        <v>88</v>
      </c>
      <c r="C64" s="19">
        <f>INDEX(위험률!$B:$B,B64+2)</f>
        <v>0.11269999999999999</v>
      </c>
      <c r="D64" s="19">
        <f>INDEX(위험률!$D:$D,B64+2)</f>
        <v>4.0899999999999999E-2</v>
      </c>
      <c r="E64" s="19">
        <f>INDEX(위험률!$C:$C,B64+2)</f>
        <v>2.8806000000000001E-3</v>
      </c>
      <c r="F64" s="19">
        <f t="shared" si="11"/>
        <v>0.15129528499999997</v>
      </c>
      <c r="G64" s="20">
        <f t="shared" si="18"/>
        <v>16190.824031290696</v>
      </c>
      <c r="H64" s="20">
        <f t="shared" si="19"/>
        <v>15537.364745813342</v>
      </c>
      <c r="I64" s="20">
        <f t="shared" si="12"/>
        <v>4949.0679187308306</v>
      </c>
      <c r="J64" s="20">
        <f t="shared" si="13"/>
        <v>4749.3242627129139</v>
      </c>
      <c r="K64" s="20">
        <f t="shared" si="14"/>
        <v>199.9331411396208</v>
      </c>
      <c r="L64" s="21">
        <f t="shared" si="15"/>
        <v>1</v>
      </c>
      <c r="M64" s="20">
        <f>SUM(I64:$I$76)</f>
        <v>23072.139915687843</v>
      </c>
      <c r="N64" s="20">
        <f>SUM(J64:$J$76)</f>
        <v>21871.372515273633</v>
      </c>
      <c r="O64" s="22">
        <f>IF(I64&lt;=0,0,(IF(A64&lt;$B$4,SUMPRODUCT(L64:$L$75,K64:$K$75),0)+베타후*(INDEX($M$16:$M$76,MAX(A64,$B$5)+1)-$M$76)-IF(A64&lt;=$B$5,$E$13*(N64-INDEX($N$16:$N$76,$B$5+1)),0))/I64)</f>
        <v>0.18754171111075943</v>
      </c>
      <c r="P64" s="6">
        <f t="shared" si="16"/>
        <v>18754</v>
      </c>
      <c r="Q64" s="7">
        <v>18754</v>
      </c>
      <c r="R64" s="6">
        <f t="shared" si="17"/>
        <v>0</v>
      </c>
    </row>
    <row r="65" spans="1:18" x14ac:dyDescent="0.45">
      <c r="A65">
        <v>49</v>
      </c>
      <c r="B65">
        <f t="shared" si="10"/>
        <v>89</v>
      </c>
      <c r="C65" s="19">
        <f>INDEX(위험률!$B:$B,B65+2)</f>
        <v>0.1239</v>
      </c>
      <c r="D65" s="19">
        <f>INDEX(위험률!$D:$D,B65+2)</f>
        <v>4.0340000000000001E-2</v>
      </c>
      <c r="E65" s="19">
        <f>INDEX(위험률!$C:$C,B65+2)</f>
        <v>3.3016E-3</v>
      </c>
      <c r="F65" s="19">
        <f t="shared" si="11"/>
        <v>0.161740937</v>
      </c>
      <c r="G65" s="20">
        <f t="shared" si="18"/>
        <v>13741.228695091722</v>
      </c>
      <c r="H65" s="20">
        <f t="shared" si="19"/>
        <v>13146.127245308431</v>
      </c>
      <c r="I65" s="20">
        <f t="shared" si="12"/>
        <v>4097.8510024215539</v>
      </c>
      <c r="J65" s="20">
        <f t="shared" si="13"/>
        <v>3920.3823694012735</v>
      </c>
      <c r="K65" s="20">
        <f t="shared" si="14"/>
        <v>163.27892207411418</v>
      </c>
      <c r="L65" s="21">
        <f t="shared" si="15"/>
        <v>1</v>
      </c>
      <c r="M65" s="20">
        <f>SUM(I65:$I$76)</f>
        <v>18123.071996957013</v>
      </c>
      <c r="N65" s="20">
        <f>SUM(J65:$J$76)</f>
        <v>17122.048252560719</v>
      </c>
      <c r="O65" s="22">
        <f>IF(I65&lt;=0,0,(IF(A65&lt;$B$4,SUMPRODUCT(L65:$L$75,K65:$K$75),0)+베타후*(INDEX($M$16:$M$76,MAX(A65,$B$5)+1)-$M$76)-IF(A65&lt;=$B$5,$E$13*(N65-INDEX($N$16:$N$76,$B$5+1)),0))/I65)</f>
        <v>0.17650091630866682</v>
      </c>
      <c r="P65" s="6">
        <f t="shared" si="16"/>
        <v>17650</v>
      </c>
      <c r="Q65" s="7">
        <v>17650</v>
      </c>
      <c r="R65" s="6">
        <f t="shared" si="17"/>
        <v>0</v>
      </c>
    </row>
    <row r="66" spans="1:18" x14ac:dyDescent="0.45">
      <c r="A66">
        <v>50</v>
      </c>
      <c r="B66">
        <f t="shared" si="10"/>
        <v>90</v>
      </c>
      <c r="C66" s="19">
        <f>INDEX(위험률!$B:$B,B66+2)</f>
        <v>0.13550000000000001</v>
      </c>
      <c r="D66" s="19">
        <f>INDEX(위험률!$D:$D,B66+2)</f>
        <v>3.9789999999999999E-2</v>
      </c>
      <c r="E66" s="19">
        <f>INDEX(위험률!$C:$C,B66+2)</f>
        <v>3.7456E-3</v>
      </c>
      <c r="F66" s="19">
        <f t="shared" si="11"/>
        <v>0.1725942275</v>
      </c>
      <c r="G66" s="20">
        <f t="shared" si="18"/>
        <v>11518.709490416299</v>
      </c>
      <c r="H66" s="20">
        <f t="shared" si="19"/>
        <v>10980.788304374786</v>
      </c>
      <c r="I66" s="20">
        <f t="shared" si="12"/>
        <v>3351.2787722961002</v>
      </c>
      <c r="J66" s="20">
        <f t="shared" si="13"/>
        <v>3194.7747947064968</v>
      </c>
      <c r="K66" s="20">
        <f t="shared" si="14"/>
        <v>131.71115618251019</v>
      </c>
      <c r="L66" s="21">
        <f t="shared" si="15"/>
        <v>1</v>
      </c>
      <c r="M66" s="20">
        <f>SUM(I66:$I$76)</f>
        <v>14025.220994535463</v>
      </c>
      <c r="N66" s="20">
        <f>SUM(J66:$J$76)</f>
        <v>13201.665883159445</v>
      </c>
      <c r="O66" s="22">
        <f>IF(I66&lt;=0,0,(IF(A66&lt;$B$4,SUMPRODUCT(L66:$L$75,K66:$K$75),0)+베타후*(INDEX($M$16:$M$76,MAX(A66,$B$5)+1)-$M$76)-IF(A66&lt;=$B$5,$E$13*(N66-INDEX($N$16:$N$76,$B$5+1)),0))/I66)</f>
        <v>0.16587628828215595</v>
      </c>
      <c r="P66" s="6">
        <f t="shared" si="16"/>
        <v>16588</v>
      </c>
      <c r="Q66" s="7">
        <v>16588</v>
      </c>
      <c r="R66" s="6">
        <f t="shared" si="17"/>
        <v>0</v>
      </c>
    </row>
    <row r="67" spans="1:18" x14ac:dyDescent="0.45">
      <c r="A67">
        <v>51</v>
      </c>
      <c r="B67">
        <f t="shared" si="10"/>
        <v>91</v>
      </c>
      <c r="C67" s="19">
        <f>INDEX(위험률!$B:$B,B67+2)</f>
        <v>0.1482</v>
      </c>
      <c r="D67" s="19">
        <f>INDEX(위험률!$D:$D,B67+2)</f>
        <v>3.9350000000000003E-2</v>
      </c>
      <c r="E67" s="19">
        <f>INDEX(위험률!$C:$C,B67+2)</f>
        <v>4.1945999999999997E-3</v>
      </c>
      <c r="F67" s="19">
        <f t="shared" si="11"/>
        <v>0.18463416499999999</v>
      </c>
      <c r="G67" s="20">
        <f t="shared" si="18"/>
        <v>9530.6467241209793</v>
      </c>
      <c r="H67" s="20">
        <f t="shared" si="19"/>
        <v>9048.7501943710176</v>
      </c>
      <c r="I67" s="20">
        <f t="shared" si="12"/>
        <v>2705.2364892239088</v>
      </c>
      <c r="J67" s="20">
        <f t="shared" si="13"/>
        <v>2568.4520595785843</v>
      </c>
      <c r="K67" s="20">
        <f t="shared" si="14"/>
        <v>105.14485845859259</v>
      </c>
      <c r="L67" s="21">
        <f t="shared" si="15"/>
        <v>1</v>
      </c>
      <c r="M67" s="20">
        <f>SUM(I67:$I$76)</f>
        <v>10673.94222223936</v>
      </c>
      <c r="N67" s="20">
        <f>SUM(J67:$J$76)</f>
        <v>10006.891088452947</v>
      </c>
      <c r="O67" s="22">
        <f>IF(I67&lt;=0,0,(IF(A67&lt;$B$4,SUMPRODUCT(L67:$L$75,K67:$K$75),0)+베타후*(INDEX($M$16:$M$76,MAX(A67,$B$5)+1)-$M$76)-IF(A67&lt;=$B$5,$E$13*(N67-INDEX($N$16:$N$76,$B$5+1)),0))/I67)</f>
        <v>0.15556320139433816</v>
      </c>
      <c r="P67" s="6">
        <f t="shared" si="16"/>
        <v>15556</v>
      </c>
      <c r="Q67" s="7">
        <v>15556</v>
      </c>
      <c r="R67" s="6">
        <f t="shared" si="17"/>
        <v>0</v>
      </c>
    </row>
    <row r="68" spans="1:18" x14ac:dyDescent="0.45">
      <c r="A68">
        <v>52</v>
      </c>
      <c r="B68">
        <f t="shared" si="10"/>
        <v>92</v>
      </c>
      <c r="C68" s="19">
        <f>INDEX(위험률!$B:$B,B68+2)</f>
        <v>0.16259999999999999</v>
      </c>
      <c r="D68" s="19">
        <f>INDEX(위험률!$D:$D,B68+2)</f>
        <v>3.909E-2</v>
      </c>
      <c r="E68" s="19">
        <f>INDEX(위험률!$C:$C,B68+2)</f>
        <v>4.6275999999999999E-3</v>
      </c>
      <c r="F68" s="19">
        <f t="shared" si="11"/>
        <v>0.19851198299999998</v>
      </c>
      <c r="G68" s="20">
        <f t="shared" si="18"/>
        <v>7770.9637243029174</v>
      </c>
      <c r="H68" s="20">
        <f t="shared" si="19"/>
        <v>7344.2812927132927</v>
      </c>
      <c r="I68" s="20">
        <f t="shared" si="12"/>
        <v>2151.9584477156304</v>
      </c>
      <c r="J68" s="20">
        <f t="shared" si="13"/>
        <v>2033.8002763836048</v>
      </c>
      <c r="K68" s="20">
        <f t="shared" si="14"/>
        <v>83.087868707645924</v>
      </c>
      <c r="L68" s="21">
        <f t="shared" si="15"/>
        <v>1</v>
      </c>
      <c r="M68" s="20">
        <f>SUM(I68:$I$76)</f>
        <v>7968.7057330154494</v>
      </c>
      <c r="N68" s="20">
        <f>SUM(J68:$J$76)</f>
        <v>7438.4390288743625</v>
      </c>
      <c r="O68" s="22">
        <f>IF(I68&lt;=0,0,(IF(A68&lt;$B$4,SUMPRODUCT(L68:$L$75,K68:$K$75),0)+베타후*(INDEX($M$16:$M$76,MAX(A68,$B$5)+1)-$M$76)-IF(A68&lt;=$B$5,$E$13*(N68-INDEX($N$16:$N$76,$B$5+1)),0))/I68)</f>
        <v>0.14544200617668898</v>
      </c>
      <c r="P68" s="6">
        <f t="shared" si="16"/>
        <v>14544</v>
      </c>
      <c r="Q68" s="7">
        <v>14544</v>
      </c>
      <c r="R68" s="6">
        <f t="shared" si="17"/>
        <v>0</v>
      </c>
    </row>
    <row r="69" spans="1:18" x14ac:dyDescent="0.45">
      <c r="A69">
        <v>53</v>
      </c>
      <c r="B69">
        <f t="shared" si="10"/>
        <v>93</v>
      </c>
      <c r="C69" s="19">
        <f>INDEX(위험률!$B:$B,B69+2)</f>
        <v>0.1792</v>
      </c>
      <c r="D69" s="19">
        <f>INDEX(위험률!$D:$D,B69+2)</f>
        <v>3.9050000000000001E-2</v>
      </c>
      <c r="E69" s="19">
        <f>INDEX(위험률!$C:$C,B69+2)</f>
        <v>5.0206000000000001E-3</v>
      </c>
      <c r="F69" s="19">
        <f t="shared" si="11"/>
        <v>0.21475111999999999</v>
      </c>
      <c r="G69" s="20">
        <f t="shared" si="18"/>
        <v>6228.33430557048</v>
      </c>
      <c r="H69" s="20">
        <f t="shared" si="19"/>
        <v>5856.3506663599092</v>
      </c>
      <c r="I69" s="20">
        <f t="shared" si="12"/>
        <v>1682.7013745619502</v>
      </c>
      <c r="J69" s="20">
        <f t="shared" si="13"/>
        <v>1582.2030149195718</v>
      </c>
      <c r="K69" s="20">
        <f t="shared" si="14"/>
        <v>64.903206746632591</v>
      </c>
      <c r="L69" s="21">
        <f t="shared" si="15"/>
        <v>1</v>
      </c>
      <c r="M69" s="20">
        <f>SUM(I69:$I$76)</f>
        <v>5816.7472852998199</v>
      </c>
      <c r="N69" s="20">
        <f>SUM(J69:$J$76)</f>
        <v>5404.6387524907577</v>
      </c>
      <c r="O69" s="22">
        <f>IF(I69&lt;=0,0,(IF(A69&lt;$B$4,SUMPRODUCT(L69:$L$75,K69:$K$75),0)+베타후*(INDEX($M$16:$M$76,MAX(A69,$B$5)+1)-$M$76)-IF(A69&lt;=$B$5,$E$13*(N69-INDEX($N$16:$N$76,$B$5+1)),0))/I69)</f>
        <v>0.13534506486545253</v>
      </c>
      <c r="P69" s="6">
        <f t="shared" si="16"/>
        <v>13535</v>
      </c>
      <c r="Q69" s="7">
        <v>13535</v>
      </c>
      <c r="R69" s="6">
        <f t="shared" si="17"/>
        <v>0</v>
      </c>
    </row>
    <row r="70" spans="1:18" x14ac:dyDescent="0.45">
      <c r="A70">
        <v>54</v>
      </c>
      <c r="B70">
        <f t="shared" si="10"/>
        <v>94</v>
      </c>
      <c r="C70" s="19">
        <f>INDEX(위험률!$B:$B,B70+2)</f>
        <v>0.1981</v>
      </c>
      <c r="D70" s="19">
        <f>INDEX(위험률!$D:$D,B70+2)</f>
        <v>3.9219999999999998E-2</v>
      </c>
      <c r="E70" s="19">
        <f>INDEX(위험률!$C:$C,B70+2)</f>
        <v>5.3585999999999998E-3</v>
      </c>
      <c r="F70" s="19">
        <f t="shared" si="11"/>
        <v>0.23343525900000001</v>
      </c>
      <c r="G70" s="20">
        <f t="shared" si="18"/>
        <v>4890.7925377147976</v>
      </c>
      <c r="H70" s="20">
        <f t="shared" si="19"/>
        <v>4572.9701500500905</v>
      </c>
      <c r="I70" s="20">
        <f t="shared" si="12"/>
        <v>1289.1115802431532</v>
      </c>
      <c r="J70" s="20">
        <f t="shared" si="13"/>
        <v>1205.3401838406926</v>
      </c>
      <c r="K70" s="20">
        <f t="shared" si="14"/>
        <v>49.938577391867341</v>
      </c>
      <c r="L70" s="21">
        <f t="shared" si="15"/>
        <v>1</v>
      </c>
      <c r="M70" s="20">
        <f>SUM(I70:$I$76)</f>
        <v>4134.0459107378692</v>
      </c>
      <c r="N70" s="20">
        <f>SUM(J70:$J$76)</f>
        <v>3822.4357375711861</v>
      </c>
      <c r="O70" s="22">
        <f>IF(I70&lt;=0,0,(IF(A70&lt;$B$4,SUMPRODUCT(L70:$L$75,K70:$K$75),0)+베타후*(INDEX($M$16:$M$76,MAX(A70,$B$5)+1)-$M$76)-IF(A70&lt;=$B$5,$E$13*(N70-INDEX($N$16:$N$76,$B$5+1)),0))/I70)</f>
        <v>0.12501587995794802</v>
      </c>
      <c r="P70" s="6">
        <f t="shared" si="16"/>
        <v>12502</v>
      </c>
      <c r="Q70" s="7">
        <v>12502</v>
      </c>
      <c r="R70" s="6">
        <f t="shared" si="17"/>
        <v>0</v>
      </c>
    </row>
    <row r="71" spans="1:18" x14ac:dyDescent="0.45">
      <c r="A71">
        <v>55</v>
      </c>
      <c r="B71">
        <f t="shared" si="10"/>
        <v>95</v>
      </c>
      <c r="C71" s="19">
        <f>INDEX(위험률!$B:$B,B71+2)</f>
        <v>0.21940000000000001</v>
      </c>
      <c r="D71" s="19">
        <f>INDEX(위험률!$D:$D,B71+2)</f>
        <v>3.9550000000000002E-2</v>
      </c>
      <c r="E71" s="19">
        <f>INDEX(위험률!$C:$C,B71+2)</f>
        <v>5.6406E-3</v>
      </c>
      <c r="F71" s="19">
        <f t="shared" si="11"/>
        <v>0.25461136500000003</v>
      </c>
      <c r="G71" s="20">
        <f t="shared" si="18"/>
        <v>3749.1091149580766</v>
      </c>
      <c r="H71" s="20">
        <f t="shared" si="19"/>
        <v>3484.2660336822851</v>
      </c>
      <c r="I71" s="20">
        <f t="shared" si="12"/>
        <v>964.08535085774997</v>
      </c>
      <c r="J71" s="20">
        <f t="shared" si="13"/>
        <v>895.98081532548019</v>
      </c>
      <c r="K71" s="20">
        <f t="shared" si="14"/>
        <v>37.66171035390785</v>
      </c>
      <c r="L71" s="21">
        <f t="shared" si="15"/>
        <v>1</v>
      </c>
      <c r="M71" s="20">
        <f>SUM(I71:$I$76)</f>
        <v>2844.9343304947161</v>
      </c>
      <c r="N71" s="20">
        <f>SUM(J71:$J$76)</f>
        <v>2617.0955537304935</v>
      </c>
      <c r="O71" s="22">
        <f>IF(I71&lt;=0,0,(IF(A71&lt;$B$4,SUMPRODUCT(L71:$L$75,K71:$K$75),0)+베타후*(INDEX($M$16:$M$76,MAX(A71,$B$5)+1)-$M$76)-IF(A71&lt;=$B$5,$E$13*(N71-INDEX($N$16:$N$76,$B$5+1)),0))/I71)</f>
        <v>0.11402696814982365</v>
      </c>
      <c r="P71" s="6">
        <f t="shared" si="16"/>
        <v>11403</v>
      </c>
      <c r="Q71" s="7">
        <v>11403</v>
      </c>
      <c r="R71" s="6">
        <f t="shared" si="17"/>
        <v>0</v>
      </c>
    </row>
    <row r="72" spans="1:18" x14ac:dyDescent="0.45">
      <c r="A72">
        <v>56</v>
      </c>
      <c r="B72">
        <f t="shared" si="10"/>
        <v>96</v>
      </c>
      <c r="C72" s="19">
        <f>INDEX(위험률!$B:$B,B72+2)</f>
        <v>0.24340000000000001</v>
      </c>
      <c r="D72" s="19">
        <f>INDEX(위험률!$D:$D,B72+2)</f>
        <v>3.9980000000000002E-2</v>
      </c>
      <c r="E72" s="19">
        <f>INDEX(위험률!$C:$C,B72+2)</f>
        <v>5.8795999999999996E-3</v>
      </c>
      <c r="F72" s="19">
        <f t="shared" si="11"/>
        <v>0.27851443400000003</v>
      </c>
      <c r="G72" s="20">
        <f t="shared" si="18"/>
        <v>2794.5433256646588</v>
      </c>
      <c r="H72" s="20">
        <f t="shared" si="19"/>
        <v>2580.3269457524393</v>
      </c>
      <c r="I72" s="20">
        <f t="shared" si="12"/>
        <v>701.09098897497972</v>
      </c>
      <c r="J72" s="20">
        <f t="shared" si="13"/>
        <v>647.34869331328059</v>
      </c>
      <c r="K72" s="20">
        <f t="shared" si="14"/>
        <v>27.685683023801683</v>
      </c>
      <c r="L72" s="21">
        <f t="shared" si="15"/>
        <v>1</v>
      </c>
      <c r="M72" s="20">
        <f>SUM(I72:$I$76)</f>
        <v>1880.8489796369665</v>
      </c>
      <c r="N72" s="20">
        <f>SUM(J72:$J$76)</f>
        <v>1721.1147384050141</v>
      </c>
      <c r="O72" s="22">
        <f>IF(I72&lt;=0,0,(IF(A72&lt;$B$4,SUMPRODUCT(L72:$L$75,K72:$K$75),0)+베타후*(INDEX($M$16:$M$76,MAX(A72,$B$5)+1)-$M$76)-IF(A72&lt;=$B$5,$E$13*(N72-INDEX($N$16:$N$76,$B$5+1)),0))/I72)</f>
        <v>0.1017071036606168</v>
      </c>
      <c r="P72" s="6">
        <f t="shared" si="16"/>
        <v>10171</v>
      </c>
      <c r="Q72" s="7">
        <v>10171</v>
      </c>
      <c r="R72" s="6">
        <f t="shared" si="17"/>
        <v>0</v>
      </c>
    </row>
    <row r="73" spans="1:18" x14ac:dyDescent="0.45">
      <c r="A73">
        <v>57</v>
      </c>
      <c r="B73">
        <f t="shared" si="10"/>
        <v>97</v>
      </c>
      <c r="C73" s="19">
        <f>INDEX(위험률!$B:$B,B73+2)</f>
        <v>0.27029999999999998</v>
      </c>
      <c r="D73" s="19">
        <f>INDEX(위험률!$D:$D,B73+2)</f>
        <v>4.0430000000000001E-2</v>
      </c>
      <c r="E73" s="19">
        <f>INDEX(위험률!$C:$C,B73+2)</f>
        <v>6.0955999999999996E-3</v>
      </c>
      <c r="F73" s="19">
        <f t="shared" si="11"/>
        <v>0.3052658855</v>
      </c>
      <c r="G73" s="20">
        <f t="shared" si="18"/>
        <v>2016.2226730286884</v>
      </c>
      <c r="H73" s="20">
        <f t="shared" si="19"/>
        <v>1848.8764339140548</v>
      </c>
      <c r="I73" s="20">
        <f t="shared" si="12"/>
        <v>493.48978438840294</v>
      </c>
      <c r="J73" s="20">
        <f t="shared" si="13"/>
        <v>452.53019169875381</v>
      </c>
      <c r="K73" s="20">
        <f t="shared" si="14"/>
        <v>19.706975447630434</v>
      </c>
      <c r="L73" s="21">
        <f t="shared" si="15"/>
        <v>1</v>
      </c>
      <c r="M73" s="20">
        <f>SUM(I73:$I$76)</f>
        <v>1179.7579906619869</v>
      </c>
      <c r="N73" s="20">
        <f>SUM(J73:$J$76)</f>
        <v>1073.7660450917333</v>
      </c>
      <c r="O73" s="22">
        <f>IF(I73&lt;=0,0,(IF(A73&lt;$B$4,SUMPRODUCT(L73:$L$75,K73:$K$75),0)+베타후*(INDEX($M$16:$M$76,MAX(A73,$B$5)+1)-$M$76)-IF(A73&lt;=$B$5,$E$13*(N73-INDEX($N$16:$N$76,$B$5+1)),0))/I73)</f>
        <v>8.6970715982737062E-2</v>
      </c>
      <c r="P73" s="6">
        <f t="shared" si="16"/>
        <v>8697</v>
      </c>
      <c r="Q73" s="7">
        <v>8697</v>
      </c>
      <c r="R73" s="6">
        <f t="shared" si="17"/>
        <v>0</v>
      </c>
    </row>
    <row r="74" spans="1:18" x14ac:dyDescent="0.45">
      <c r="A74">
        <v>58</v>
      </c>
      <c r="B74">
        <f t="shared" si="10"/>
        <v>98</v>
      </c>
      <c r="C74" s="19">
        <f>INDEX(위험률!$B:$B,B74+2)</f>
        <v>0.29980000000000001</v>
      </c>
      <c r="D74" s="19">
        <f>INDEX(위험률!$D:$D,B74+2)</f>
        <v>4.0430000000000001E-2</v>
      </c>
      <c r="E74" s="19">
        <f>INDEX(위험률!$C:$C,B74+2)</f>
        <v>6.3236000000000004E-3</v>
      </c>
      <c r="F74" s="19">
        <f t="shared" si="11"/>
        <v>0.33416954300000001</v>
      </c>
      <c r="G74" s="20">
        <f t="shared" si="18"/>
        <v>1400.7386733814089</v>
      </c>
      <c r="H74" s="20">
        <f t="shared" si="19"/>
        <v>1275.1247288779105</v>
      </c>
      <c r="I74" s="20">
        <f t="shared" si="12"/>
        <v>334.4821349969493</v>
      </c>
      <c r="J74" s="20">
        <f t="shared" si="13"/>
        <v>304.4868038610623</v>
      </c>
      <c r="K74" s="20">
        <f t="shared" si="14"/>
        <v>13.357178670324657</v>
      </c>
      <c r="L74" s="21">
        <f t="shared" si="15"/>
        <v>1</v>
      </c>
      <c r="M74" s="20">
        <f>SUM(I74:$I$76)</f>
        <v>686.26820627358381</v>
      </c>
      <c r="N74" s="20">
        <f>SUM(J74:$J$76)</f>
        <v>621.23585339297949</v>
      </c>
      <c r="O74" s="22">
        <f>IF(I74&lt;=0,0,(IF(A74&lt;$B$4,SUMPRODUCT(L74:$L$75,K74:$K$75),0)+베타후*(INDEX($M$16:$M$76,MAX(A74,$B$5)+1)-$M$76)-IF(A74&lt;=$B$5,$E$13*(N74-INDEX($N$16:$N$76,$B$5+1)),0))/I74)</f>
        <v>6.7921997228982997E-2</v>
      </c>
      <c r="P74" s="6">
        <f t="shared" si="16"/>
        <v>6792</v>
      </c>
      <c r="Q74" s="7">
        <v>6792</v>
      </c>
      <c r="R74" s="6">
        <f t="shared" si="17"/>
        <v>0</v>
      </c>
    </row>
    <row r="75" spans="1:18" x14ac:dyDescent="0.45">
      <c r="A75">
        <v>59</v>
      </c>
      <c r="B75">
        <f t="shared" si="10"/>
        <v>99</v>
      </c>
      <c r="C75" s="19">
        <f>INDEX(위험률!$B:$B,B75+2)</f>
        <v>0.33119999999999999</v>
      </c>
      <c r="D75" s="19">
        <f>INDEX(위험률!$D:$D,B75+2)</f>
        <v>4.1050000000000003E-2</v>
      </c>
      <c r="E75" s="19">
        <f>INDEX(위험률!$C:$C,B75+2)</f>
        <v>6.5855999999999996E-3</v>
      </c>
      <c r="F75" s="19">
        <f t="shared" si="11"/>
        <v>0.36545211999999999</v>
      </c>
      <c r="G75" s="20">
        <f t="shared" si="18"/>
        <v>932.65447103511724</v>
      </c>
      <c r="H75" s="20">
        <f t="shared" si="19"/>
        <v>842.43933733988035</v>
      </c>
      <c r="I75" s="20">
        <f t="shared" si="12"/>
        <v>217.27648078376046</v>
      </c>
      <c r="J75" s="20">
        <f t="shared" si="13"/>
        <v>196.25945103534525</v>
      </c>
      <c r="K75" s="20">
        <f t="shared" si="14"/>
        <v>8.8097573603017398</v>
      </c>
      <c r="L75" s="21">
        <f t="shared" si="15"/>
        <v>1</v>
      </c>
      <c r="M75" s="20">
        <f>SUM(I75:$I$76)</f>
        <v>351.78607127663452</v>
      </c>
      <c r="N75" s="20">
        <f>SUM(J75:$J$76)</f>
        <v>316.74904953191714</v>
      </c>
      <c r="O75" s="22">
        <f>IF(I75&lt;=0,0,(IF(A75&lt;$B$4,SUMPRODUCT(L75:$L$75,K75:$K$75),0)+베타후*(INDEX($M$16:$M$76,MAX(A75,$B$5)+1)-$M$76)-IF(A75&lt;=$B$5,$E$13*(N75-INDEX($N$16:$N$76,$B$5+1)),0))/I75)</f>
        <v>4.1546299942465718E-2</v>
      </c>
      <c r="P75" s="6">
        <f t="shared" si="16"/>
        <v>4155</v>
      </c>
      <c r="Q75" s="7">
        <v>4155</v>
      </c>
      <c r="R75" s="6">
        <f t="shared" si="17"/>
        <v>0</v>
      </c>
    </row>
    <row r="76" spans="1:18" x14ac:dyDescent="0.45">
      <c r="A76">
        <v>60</v>
      </c>
      <c r="B76">
        <f t="shared" si="10"/>
        <v>100</v>
      </c>
      <c r="C76" s="19">
        <f>INDEX(위험률!$B:$B,B76+2)</f>
        <v>0.36320000000000002</v>
      </c>
      <c r="D76" s="19">
        <f>INDEX(위험률!$D:$D,B76+2)</f>
        <v>4.1050000000000003E-2</v>
      </c>
      <c r="E76" s="19">
        <f>INDEX(위험률!$C:$C,B76+2)</f>
        <v>6.9005999999999998E-3</v>
      </c>
      <c r="F76" s="19">
        <f t="shared" si="11"/>
        <v>0.39679532000000001</v>
      </c>
      <c r="G76" s="20">
        <f t="shared" si="18"/>
        <v>591.81391736785497</v>
      </c>
      <c r="H76" s="20">
        <f t="shared" si="19"/>
        <v>530.12890030405583</v>
      </c>
      <c r="I76" s="20">
        <f t="shared" si="12"/>
        <v>134.50959049287408</v>
      </c>
      <c r="J76" s="20">
        <f t="shared" si="13"/>
        <v>120.4895984965719</v>
      </c>
      <c r="K76" s="20">
        <f t="shared" si="14"/>
        <v>5.4538662012623069</v>
      </c>
      <c r="L76" s="21">
        <f t="shared" si="15"/>
        <v>1</v>
      </c>
      <c r="M76" s="20">
        <f>SUM(I76:$I$76)</f>
        <v>134.50959049287408</v>
      </c>
      <c r="N76" s="20">
        <f>SUM(J76:$J$76)</f>
        <v>120.4895984965719</v>
      </c>
      <c r="O76" s="22">
        <f>IF(I76&lt;=0,0,(IF(A76&lt;$B$4,SUMPRODUCT(L$75:$L76,K$75:$K76),0)+베타후*(INDEX($M$16:$M$76,MAX(A76,$B$5)+1)-$M$76)-IF(A76&lt;=$B$5,$E$13*(N76-INDEX($N$16:$N$76,$B$5+1)),0))/I76)</f>
        <v>0</v>
      </c>
      <c r="P76" s="6">
        <f t="shared" si="16"/>
        <v>0</v>
      </c>
      <c r="Q76" s="7">
        <v>0</v>
      </c>
      <c r="R76" s="6">
        <f t="shared" si="17"/>
        <v>0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12</vt:i4>
      </vt:variant>
    </vt:vector>
  </HeadingPairs>
  <TitlesOfParts>
    <vt:vector size="18" baseType="lpstr">
      <vt:lpstr>설명</vt:lpstr>
      <vt:lpstr>보험료</vt:lpstr>
      <vt:lpstr>입력</vt:lpstr>
      <vt:lpstr>위험률</vt:lpstr>
      <vt:lpstr>기수_사망장해</vt:lpstr>
      <vt:lpstr>기수_암진단</vt:lpstr>
      <vt:lpstr>가입나이</vt:lpstr>
      <vt:lpstr>감마</vt:lpstr>
      <vt:lpstr>납입기간</vt:lpstr>
      <vt:lpstr>납입주기</vt:lpstr>
      <vt:lpstr>베타G</vt:lpstr>
      <vt:lpstr>베타S</vt:lpstr>
      <vt:lpstr>베타후</vt:lpstr>
      <vt:lpstr>보험기간</vt:lpstr>
      <vt:lpstr>알파P</vt:lpstr>
      <vt:lpstr>알파S</vt:lpstr>
      <vt:lpstr>이율</vt:lpstr>
      <vt:lpstr>현가율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tkleen</cp:lastModifiedBy>
  <dcterms:created xsi:type="dcterms:W3CDTF">2026-10-06T04:08:13Z</dcterms:created>
  <dcterms:modified xsi:type="dcterms:W3CDTF">2026-10-06T04:08:40Z</dcterms:modified>
</cp:coreProperties>
</file>